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M SAFETY\Documents\"/>
    </mc:Choice>
  </mc:AlternateContent>
  <xr:revisionPtr revIDLastSave="0" documentId="8_{FAB2601E-851D-4F08-A44E-CE3C7B476D79}" xr6:coauthVersionLast="47" xr6:coauthVersionMax="47" xr10:uidLastSave="{00000000-0000-0000-0000-000000000000}"/>
  <bookViews>
    <workbookView xWindow="-108" yWindow="-108" windowWidth="23256" windowHeight="12456" xr2:uid="{6D574F31-197E-4B9F-91BE-BCD845BC3238}"/>
  </bookViews>
  <sheets>
    <sheet name="Master Sign Structures (latest)" sheetId="1" r:id="rId1"/>
  </sheets>
  <externalReferences>
    <externalReference r:id="rId2"/>
    <externalReference r:id="rId3"/>
  </externalReferences>
  <definedNames>
    <definedName name="MTC">'[2]RM - MIC'!#REF!</definedName>
    <definedName name="Name">'[2]RM - MIC'!#REF!</definedName>
    <definedName name="Visual">'[2]RM - MIC'!#REF!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K40" i="1" s="1"/>
  <c r="E40" i="1"/>
  <c r="G40" i="1" s="1"/>
  <c r="I39" i="1"/>
  <c r="K39" i="1" s="1"/>
  <c r="E39" i="1"/>
  <c r="G39" i="1" s="1"/>
  <c r="I38" i="1"/>
  <c r="K38" i="1" s="1"/>
  <c r="E38" i="1"/>
  <c r="G38" i="1" s="1"/>
  <c r="I37" i="1"/>
  <c r="K37" i="1" s="1"/>
  <c r="E37" i="1"/>
  <c r="G37" i="1" s="1"/>
  <c r="I36" i="1"/>
  <c r="K36" i="1" s="1"/>
  <c r="E36" i="1"/>
  <c r="G36" i="1" s="1"/>
  <c r="I35" i="1"/>
  <c r="K35" i="1" s="1"/>
  <c r="E35" i="1"/>
  <c r="G35" i="1" s="1"/>
  <c r="I34" i="1"/>
  <c r="K34" i="1" s="1"/>
  <c r="G34" i="1"/>
  <c r="I33" i="1"/>
  <c r="K33" i="1" s="1"/>
  <c r="G33" i="1"/>
  <c r="I32" i="1"/>
  <c r="K32" i="1" s="1"/>
  <c r="G32" i="1"/>
  <c r="I31" i="1"/>
  <c r="K31" i="1" s="1"/>
  <c r="G31" i="1"/>
  <c r="I30" i="1"/>
  <c r="K30" i="1" s="1"/>
  <c r="G30" i="1"/>
  <c r="I29" i="1"/>
  <c r="K29" i="1" s="1"/>
  <c r="G29" i="1"/>
  <c r="I28" i="1"/>
  <c r="K28" i="1" s="1"/>
  <c r="G28" i="1"/>
  <c r="I27" i="1"/>
  <c r="K27" i="1" s="1"/>
  <c r="G27" i="1"/>
  <c r="I26" i="1"/>
  <c r="K26" i="1" s="1"/>
  <c r="G26" i="1"/>
  <c r="I25" i="1"/>
  <c r="K25" i="1" s="1"/>
  <c r="G25" i="1"/>
  <c r="I24" i="1"/>
  <c r="K24" i="1" s="1"/>
  <c r="G24" i="1"/>
  <c r="I23" i="1"/>
  <c r="K23" i="1" s="1"/>
  <c r="G23" i="1"/>
  <c r="I22" i="1"/>
  <c r="K22" i="1" s="1"/>
  <c r="G22" i="1"/>
  <c r="I21" i="1"/>
  <c r="K21" i="1" s="1"/>
  <c r="G21" i="1"/>
  <c r="I20" i="1"/>
  <c r="K20" i="1" s="1"/>
  <c r="G20" i="1"/>
  <c r="R19" i="1"/>
  <c r="I19" i="1"/>
  <c r="K19" i="1" s="1"/>
  <c r="G19" i="1"/>
  <c r="I18" i="1"/>
  <c r="K18" i="1" s="1"/>
  <c r="G18" i="1"/>
  <c r="I17" i="1"/>
  <c r="K17" i="1" s="1"/>
  <c r="G17" i="1"/>
  <c r="I16" i="1"/>
  <c r="K16" i="1" s="1"/>
  <c r="G16" i="1"/>
  <c r="I15" i="1"/>
  <c r="K15" i="1" s="1"/>
  <c r="G15" i="1"/>
  <c r="I14" i="1"/>
  <c r="K14" i="1" s="1"/>
  <c r="G14" i="1"/>
  <c r="I13" i="1"/>
  <c r="K13" i="1" s="1"/>
  <c r="G13" i="1"/>
  <c r="I12" i="1"/>
  <c r="K12" i="1" s="1"/>
  <c r="G12" i="1"/>
  <c r="I11" i="1"/>
  <c r="K11" i="1" s="1"/>
  <c r="G11" i="1"/>
  <c r="I10" i="1"/>
  <c r="K10" i="1" s="1"/>
  <c r="G10" i="1"/>
  <c r="I9" i="1"/>
  <c r="K9" i="1" s="1"/>
  <c r="G9" i="1"/>
  <c r="R8" i="1"/>
  <c r="I8" i="1"/>
  <c r="K8" i="1" s="1"/>
  <c r="G8" i="1"/>
  <c r="I7" i="1"/>
  <c r="K7" i="1" s="1"/>
  <c r="G7" i="1"/>
  <c r="I6" i="1"/>
  <c r="K6" i="1" s="1"/>
  <c r="G6" i="1"/>
  <c r="I5" i="1"/>
  <c r="K5" i="1" s="1"/>
  <c r="G5" i="1"/>
  <c r="I4" i="1"/>
  <c r="K4" i="1" s="1"/>
  <c r="G4" i="1"/>
  <c r="I3" i="1"/>
  <c r="K3" i="1" s="1"/>
  <c r="G3" i="1"/>
  <c r="L32" i="1" l="1"/>
  <c r="L30" i="1"/>
  <c r="L20" i="1"/>
  <c r="L22" i="1"/>
  <c r="L11" i="1"/>
  <c r="L17" i="1"/>
  <c r="L26" i="1"/>
  <c r="L23" i="1"/>
  <c r="L29" i="1"/>
  <c r="L8" i="1"/>
  <c r="L25" i="1"/>
  <c r="L3" i="1"/>
  <c r="L27" i="1"/>
  <c r="L31" i="1"/>
  <c r="L10" i="1"/>
  <c r="L16" i="1"/>
  <c r="L21" i="1"/>
  <c r="L5" i="1"/>
  <c r="L4" i="1"/>
  <c r="L28" i="1"/>
  <c r="L13" i="1"/>
  <c r="L19" i="1"/>
  <c r="L34" i="1"/>
  <c r="L15" i="1"/>
  <c r="L12" i="1"/>
  <c r="L33" i="1"/>
  <c r="L7" i="1"/>
  <c r="L24" i="1"/>
  <c r="L9" i="1"/>
  <c r="L6" i="1"/>
  <c r="L18" i="1"/>
  <c r="L14" i="1"/>
  <c r="L35" i="1"/>
  <c r="L36" i="1"/>
  <c r="L40" i="1"/>
  <c r="L37" i="1"/>
  <c r="L38" i="1"/>
  <c r="L39" i="1"/>
</calcChain>
</file>

<file path=xl/sharedStrings.xml><?xml version="1.0" encoding="utf-8"?>
<sst xmlns="http://schemas.openxmlformats.org/spreadsheetml/2006/main" count="224" uniqueCount="67">
  <si>
    <t>Sr. No.</t>
  </si>
  <si>
    <t>Shape of Board</t>
  </si>
  <si>
    <t>Size
(in mm)</t>
  </si>
  <si>
    <t>Post</t>
  </si>
  <si>
    <t>Frame</t>
  </si>
  <si>
    <t>Rate per Board
(incl. Profit)</t>
  </si>
  <si>
    <t>Remarks</t>
  </si>
  <si>
    <t>For Mandatory  and  Informatory  Boards</t>
  </si>
  <si>
    <t>Length
(in Mtrs)</t>
  </si>
  <si>
    <t>Weight per Mtr.</t>
  </si>
  <si>
    <t>Total Weight</t>
  </si>
  <si>
    <t>Size</t>
  </si>
  <si>
    <t>Length</t>
  </si>
  <si>
    <t>Particulars</t>
  </si>
  <si>
    <t>UoM</t>
  </si>
  <si>
    <t>Rate per Unit</t>
  </si>
  <si>
    <t>Circular Board</t>
  </si>
  <si>
    <t>Ø76.1 x 3.20</t>
  </si>
  <si>
    <t>ISA 25 x 25 x 3.0</t>
  </si>
  <si>
    <t>Single Post</t>
  </si>
  <si>
    <t>Post Material</t>
  </si>
  <si>
    <t>Kgs</t>
  </si>
  <si>
    <t>Frame Material</t>
  </si>
  <si>
    <t>Conversion Cost</t>
  </si>
  <si>
    <t>Painting &amp; Packing Cost</t>
  </si>
  <si>
    <t>Over Head Cost</t>
  </si>
  <si>
    <t>Rate per Kgs including Profilt 10%</t>
  </si>
  <si>
    <t>Triangular Board</t>
  </si>
  <si>
    <t>For ADS &amp; Overhead Boards</t>
  </si>
  <si>
    <t>Post / Pole Material Cost</t>
  </si>
  <si>
    <t>Transportation Cost</t>
  </si>
  <si>
    <t>Handing Cost</t>
  </si>
  <si>
    <t>Octogonal Board</t>
  </si>
  <si>
    <t>Powder Coating &amp; Painting Cost</t>
  </si>
  <si>
    <t>Transportation Cost - Dipatch</t>
  </si>
  <si>
    <t>Profilt</t>
  </si>
  <si>
    <t>Total Rate per Kgs</t>
  </si>
  <si>
    <t>Rectangular Board</t>
  </si>
  <si>
    <t>450 X 600</t>
  </si>
  <si>
    <t>Single Post - Informatory</t>
  </si>
  <si>
    <t>500 X 600</t>
  </si>
  <si>
    <t>Single Post - Chevron</t>
  </si>
  <si>
    <t>300 x 900</t>
  </si>
  <si>
    <t>Single Post - Hazard Marker</t>
  </si>
  <si>
    <t>450 x 900</t>
  </si>
  <si>
    <t>Single Post - 2 Way Hazard Marker</t>
  </si>
  <si>
    <t>600 x 800</t>
  </si>
  <si>
    <t>600 x 900</t>
  </si>
  <si>
    <t>750 x 900</t>
  </si>
  <si>
    <t>900 x 900</t>
  </si>
  <si>
    <t>900 x 1200</t>
  </si>
  <si>
    <t>1200 x 500</t>
  </si>
  <si>
    <t>600 x 600</t>
  </si>
  <si>
    <t>1550 x 600</t>
  </si>
  <si>
    <t>Ø88.9 x 3.20</t>
  </si>
  <si>
    <t>ISA 35 x 35 x 3.0</t>
  </si>
  <si>
    <t>Single Post - Double Chevron</t>
  </si>
  <si>
    <t>1500 x 1500</t>
  </si>
  <si>
    <t>1200 x 1500</t>
  </si>
  <si>
    <t>1600 x 1100</t>
  </si>
  <si>
    <t>RHS 40 x 20 x 2.0</t>
  </si>
  <si>
    <t>Two Post</t>
  </si>
  <si>
    <t>1830 x 760</t>
  </si>
  <si>
    <t>2200 x 850</t>
  </si>
  <si>
    <t>2440 x 900</t>
  </si>
  <si>
    <t>2130 x 1140</t>
  </si>
  <si>
    <t>2500 x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</si>
</sst>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43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Protection="1"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horizontal="left" vertical="center"/>
      <protection locked="0"/>
    </xf>
    <xf numFmtId="0" fontId="3" fillId="3" borderId="11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 applyProtection="1">
      <alignment horizontal="center" vertical="center"/>
      <protection locked="0"/>
    </xf>
    <xf numFmtId="0" fontId="5" fillId="4" borderId="13" xfId="0" applyFont="1" applyFill="1" applyBorder="1" applyAlignment="1" applyProtection="1">
      <alignment horizontal="center" vertical="center"/>
      <protection locked="0"/>
    </xf>
    <xf numFmtId="0" fontId="5" fillId="4" borderId="14" xfId="0" applyFont="1" applyFill="1" applyBorder="1" applyAlignment="1" applyProtection="1">
      <alignment horizontal="center" vertical="center"/>
      <protection locked="0"/>
    </xf>
    <xf numFmtId="0" fontId="5" fillId="4" borderId="15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43" fontId="4" fillId="2" borderId="0" xfId="1" applyFont="1" applyFill="1" applyProtection="1">
      <protection locked="0"/>
    </xf>
    <xf numFmtId="0" fontId="3" fillId="0" borderId="0" xfId="0" applyFont="1"/>
    <xf numFmtId="43" fontId="4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137160</xdr:colOff>
          <xdr:row>1</xdr:row>
          <xdr:rowOff>182880</xdr:rowOff>
        </xdr:from>
        <xdr:to>
          <xdr:col>13</xdr:col>
          <xdr:colOff>426720</xdr:colOff>
          <xdr:row>1</xdr:row>
          <xdr:rowOff>441960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649CB3B-8987-4430-BFF7-D65823200A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1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NM%20SAFETY\Documents\YNM%20Safety\2)%20Projects\0)%20Costing%20Master\2)%20Master%20-%20Sign%20Board%20Structures%2025.08.25.xlsm" TargetMode="External"/><Relationship Id="rId1" Type="http://schemas.openxmlformats.org/officeDocument/2006/relationships/externalLinkPath" Target="YNM%20Safety/2)%20Projects/0)%20Costing%20Master/2)%20Master%20-%20Sign%20Board%20Structures%2025.08.2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oc%20Master/Documents/Customer%20Files/0)%20Tracole%20Technology/ARSQ/ARSQ%20DP/Chevron%20Board%20450%20x%20600mm/BOM%20&amp;%20MIC-%20Chevron%20Board%20(600%20x%20450mm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Sign Structures"/>
      <sheetName val="Sheet1"/>
      <sheetName val="Master Sign Structures (latest)"/>
      <sheetName val="Master Sign Structures (Costi"/>
    </sheetNames>
    <definedNames>
      <definedName name="Macro2"/>
    </defined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-up"/>
      <sheetName val="BOM (2)"/>
      <sheetName val="RM - MIC"/>
      <sheetName val="PDI"/>
      <sheetName val="RM - MIC Master"/>
      <sheetName val="FG - MIC"/>
      <sheetName val="BOM - Paver Bloc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134D-0FB2-4ECA-9E38-A33C652A0952}">
  <sheetPr>
    <tabColor rgb="FFFF0000"/>
  </sheetPr>
  <dimension ref="A1:S115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3" sqref="A3:A40"/>
    </sheetView>
  </sheetViews>
  <sheetFormatPr defaultColWidth="8.88671875" defaultRowHeight="15.6" x14ac:dyDescent="0.3"/>
  <cols>
    <col min="1" max="1" width="4.6640625" style="44" customWidth="1"/>
    <col min="2" max="2" width="18.33203125" style="8" bestFit="1" customWidth="1"/>
    <col min="3" max="3" width="15.44140625" style="8" customWidth="1"/>
    <col min="4" max="4" width="18.44140625" style="8" bestFit="1" customWidth="1"/>
    <col min="5" max="5" width="15.44140625" style="8" customWidth="1"/>
    <col min="6" max="6" width="12.109375" style="8" customWidth="1"/>
    <col min="7" max="7" width="16" style="8" customWidth="1"/>
    <col min="8" max="8" width="16.109375" style="8" bestFit="1" customWidth="1"/>
    <col min="9" max="9" width="14.5546875" style="8" customWidth="1"/>
    <col min="10" max="10" width="12.109375" style="8" customWidth="1"/>
    <col min="11" max="11" width="16" style="8" customWidth="1"/>
    <col min="12" max="12" width="17" style="45" customWidth="1"/>
    <col min="13" max="13" width="30.77734375" style="8" bestFit="1" customWidth="1"/>
    <col min="14" max="15" width="8.88671875" style="8"/>
    <col min="16" max="16" width="32.33203125" style="8" bestFit="1" customWidth="1"/>
    <col min="17" max="17" width="8.88671875" style="8"/>
    <col min="18" max="18" width="9.109375" style="8" bestFit="1" customWidth="1"/>
    <col min="19" max="16384" width="8.88671875" style="8"/>
  </cols>
  <sheetData>
    <row r="1" spans="1:19" ht="20.399999999999999" customHeight="1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3" t="s">
        <v>5</v>
      </c>
      <c r="M1" s="1" t="s">
        <v>6</v>
      </c>
      <c r="N1" s="4"/>
      <c r="O1" s="5" t="s">
        <v>7</v>
      </c>
      <c r="P1" s="6"/>
      <c r="Q1" s="6"/>
      <c r="R1" s="7"/>
      <c r="S1" s="4"/>
    </row>
    <row r="2" spans="1:19" s="14" customFormat="1" ht="31.2" x14ac:dyDescent="0.3">
      <c r="A2" s="1"/>
      <c r="B2" s="1"/>
      <c r="C2" s="1"/>
      <c r="D2" s="9" t="s">
        <v>2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9</v>
      </c>
      <c r="K2" s="9" t="s">
        <v>10</v>
      </c>
      <c r="L2" s="3"/>
      <c r="M2" s="1"/>
      <c r="N2" s="10"/>
      <c r="O2" s="11" t="s">
        <v>0</v>
      </c>
      <c r="P2" s="12" t="s">
        <v>13</v>
      </c>
      <c r="Q2" s="12" t="s">
        <v>14</v>
      </c>
      <c r="R2" s="13" t="s">
        <v>15</v>
      </c>
      <c r="S2" s="10"/>
    </row>
    <row r="3" spans="1:19" s="24" customFormat="1" ht="20.399999999999999" customHeight="1" x14ac:dyDescent="0.3">
      <c r="A3" s="15">
        <v>1</v>
      </c>
      <c r="B3" s="16" t="s">
        <v>16</v>
      </c>
      <c r="C3" s="17">
        <v>300</v>
      </c>
      <c r="D3" s="18" t="s">
        <v>17</v>
      </c>
      <c r="E3" s="19">
        <v>3.15</v>
      </c>
      <c r="F3" s="19">
        <v>5.75</v>
      </c>
      <c r="G3" s="19">
        <f>E3*F3</f>
        <v>18.112500000000001</v>
      </c>
      <c r="H3" s="18" t="s">
        <v>18</v>
      </c>
      <c r="I3" s="19">
        <f>(0.12*6)+0.24+0.85</f>
        <v>1.81</v>
      </c>
      <c r="J3" s="19">
        <v>1.1399999999999999</v>
      </c>
      <c r="K3" s="19">
        <f>I3*J3</f>
        <v>2.0633999999999997</v>
      </c>
      <c r="L3" s="20">
        <f>(K3+G3)*R8</f>
        <v>2219.3490000000002</v>
      </c>
      <c r="M3" s="17" t="s">
        <v>19</v>
      </c>
      <c r="N3" s="21"/>
      <c r="O3" s="22">
        <v>1</v>
      </c>
      <c r="P3" s="16" t="s">
        <v>20</v>
      </c>
      <c r="Q3" s="17" t="s">
        <v>21</v>
      </c>
      <c r="R3" s="23">
        <v>65</v>
      </c>
      <c r="S3" s="21"/>
    </row>
    <row r="4" spans="1:19" s="24" customFormat="1" ht="20.399999999999999" customHeight="1" x14ac:dyDescent="0.3">
      <c r="A4" s="15">
        <v>2</v>
      </c>
      <c r="B4" s="16" t="s">
        <v>16</v>
      </c>
      <c r="C4" s="17">
        <v>600</v>
      </c>
      <c r="D4" s="18" t="s">
        <v>17</v>
      </c>
      <c r="E4" s="19">
        <v>3.3</v>
      </c>
      <c r="F4" s="19">
        <v>5.75</v>
      </c>
      <c r="G4" s="19">
        <f>E4*F4</f>
        <v>18.974999999999998</v>
      </c>
      <c r="H4" s="18" t="s">
        <v>18</v>
      </c>
      <c r="I4" s="19">
        <f>(0.27*6)+0.54+0.85</f>
        <v>3.0100000000000002</v>
      </c>
      <c r="J4" s="19">
        <v>1.1399999999999999</v>
      </c>
      <c r="K4" s="19">
        <f t="shared" ref="K4:K40" si="0">I4*J4</f>
        <v>3.4314</v>
      </c>
      <c r="L4" s="20">
        <f>(K4+G4)*R8</f>
        <v>2464.7040000000002</v>
      </c>
      <c r="M4" s="17" t="s">
        <v>19</v>
      </c>
      <c r="N4" s="21"/>
      <c r="O4" s="22">
        <v>2</v>
      </c>
      <c r="P4" s="16" t="s">
        <v>22</v>
      </c>
      <c r="Q4" s="17" t="s">
        <v>21</v>
      </c>
      <c r="R4" s="23">
        <v>65</v>
      </c>
      <c r="S4" s="21"/>
    </row>
    <row r="5" spans="1:19" s="24" customFormat="1" ht="20.399999999999999" customHeight="1" x14ac:dyDescent="0.3">
      <c r="A5" s="15">
        <v>3</v>
      </c>
      <c r="B5" s="16" t="s">
        <v>16</v>
      </c>
      <c r="C5" s="17">
        <v>750</v>
      </c>
      <c r="D5" s="18" t="s">
        <v>17</v>
      </c>
      <c r="E5" s="19">
        <v>3.375</v>
      </c>
      <c r="F5" s="19">
        <v>5.75</v>
      </c>
      <c r="G5" s="19">
        <f>E5*F5</f>
        <v>19.40625</v>
      </c>
      <c r="H5" s="18" t="s">
        <v>18</v>
      </c>
      <c r="I5" s="19">
        <f>(0.345*6)+0.69+0.85</f>
        <v>3.61</v>
      </c>
      <c r="J5" s="19">
        <v>1.1399999999999999</v>
      </c>
      <c r="K5" s="19">
        <f t="shared" si="0"/>
        <v>4.1153999999999993</v>
      </c>
      <c r="L5" s="20">
        <f>(K5+G5)*R8</f>
        <v>2587.3815000000004</v>
      </c>
      <c r="M5" s="17" t="s">
        <v>19</v>
      </c>
      <c r="N5" s="21"/>
      <c r="O5" s="22">
        <v>4</v>
      </c>
      <c r="P5" s="16" t="s">
        <v>23</v>
      </c>
      <c r="Q5" s="17" t="s">
        <v>21</v>
      </c>
      <c r="R5" s="23">
        <v>10</v>
      </c>
      <c r="S5" s="21"/>
    </row>
    <row r="6" spans="1:19" s="24" customFormat="1" ht="20.399999999999999" customHeight="1" x14ac:dyDescent="0.3">
      <c r="A6" s="15">
        <v>4</v>
      </c>
      <c r="B6" s="16" t="s">
        <v>16</v>
      </c>
      <c r="C6" s="17">
        <v>900</v>
      </c>
      <c r="D6" s="18" t="s">
        <v>17</v>
      </c>
      <c r="E6" s="19">
        <v>3.45</v>
      </c>
      <c r="F6" s="19">
        <v>5.75</v>
      </c>
      <c r="G6" s="19">
        <f t="shared" ref="G6:G40" si="1">E6*F6</f>
        <v>19.837500000000002</v>
      </c>
      <c r="H6" s="18" t="s">
        <v>18</v>
      </c>
      <c r="I6" s="19">
        <f>(0.42*6)+0.84+0.85</f>
        <v>4.21</v>
      </c>
      <c r="J6" s="19">
        <v>1.1399999999999999</v>
      </c>
      <c r="K6" s="19">
        <f t="shared" si="0"/>
        <v>4.7993999999999994</v>
      </c>
      <c r="L6" s="20">
        <f>(K6+G6)*R8</f>
        <v>2710.0590000000007</v>
      </c>
      <c r="M6" s="17" t="s">
        <v>19</v>
      </c>
      <c r="N6" s="21"/>
      <c r="O6" s="22">
        <v>5</v>
      </c>
      <c r="P6" s="16" t="s">
        <v>24</v>
      </c>
      <c r="Q6" s="17" t="s">
        <v>21</v>
      </c>
      <c r="R6" s="23">
        <v>10</v>
      </c>
      <c r="S6" s="21"/>
    </row>
    <row r="7" spans="1:19" s="24" customFormat="1" ht="20.399999999999999" customHeight="1" x14ac:dyDescent="0.3">
      <c r="A7" s="15">
        <v>5</v>
      </c>
      <c r="B7" s="16" t="s">
        <v>16</v>
      </c>
      <c r="C7" s="17">
        <v>1200</v>
      </c>
      <c r="D7" s="18" t="s">
        <v>17</v>
      </c>
      <c r="E7" s="19">
        <v>3.6</v>
      </c>
      <c r="F7" s="19">
        <v>5.75</v>
      </c>
      <c r="G7" s="19">
        <f t="shared" si="1"/>
        <v>20.7</v>
      </c>
      <c r="H7" s="18" t="s">
        <v>18</v>
      </c>
      <c r="I7" s="19">
        <f>(0.57*6)+1.14+0.85</f>
        <v>5.4099999999999993</v>
      </c>
      <c r="J7" s="19">
        <v>1.1399999999999999</v>
      </c>
      <c r="K7" s="19">
        <f t="shared" si="0"/>
        <v>6.1673999999999989</v>
      </c>
      <c r="L7" s="20">
        <f>(K7+G7)*R8</f>
        <v>2955.4139999999998</v>
      </c>
      <c r="M7" s="17" t="s">
        <v>19</v>
      </c>
      <c r="N7" s="21"/>
      <c r="O7" s="22">
        <v>6</v>
      </c>
      <c r="P7" s="16" t="s">
        <v>25</v>
      </c>
      <c r="Q7" s="17" t="s">
        <v>21</v>
      </c>
      <c r="R7" s="23">
        <v>15</v>
      </c>
      <c r="S7" s="21"/>
    </row>
    <row r="8" spans="1:19" s="24" customFormat="1" ht="20.399999999999999" customHeight="1" thickBot="1" x14ac:dyDescent="0.35">
      <c r="A8" s="15">
        <v>6</v>
      </c>
      <c r="B8" s="16" t="s">
        <v>16</v>
      </c>
      <c r="C8" s="17">
        <v>1500</v>
      </c>
      <c r="D8" s="18" t="s">
        <v>17</v>
      </c>
      <c r="E8" s="19">
        <v>3.75</v>
      </c>
      <c r="F8" s="19">
        <v>5.75</v>
      </c>
      <c r="G8" s="19">
        <f t="shared" si="1"/>
        <v>21.5625</v>
      </c>
      <c r="H8" s="18" t="s">
        <v>18</v>
      </c>
      <c r="I8" s="19">
        <f>(0.72*6)+1.44+0.85</f>
        <v>6.6099999999999994</v>
      </c>
      <c r="J8" s="19">
        <v>1.1399999999999999</v>
      </c>
      <c r="K8" s="19">
        <f t="shared" si="0"/>
        <v>7.5353999999999983</v>
      </c>
      <c r="L8" s="20">
        <f>(K8+G8)*R8</f>
        <v>3200.7690000000002</v>
      </c>
      <c r="M8" s="17" t="s">
        <v>19</v>
      </c>
      <c r="N8" s="21"/>
      <c r="O8" s="25"/>
      <c r="P8" s="26" t="s">
        <v>26</v>
      </c>
      <c r="Q8" s="27" t="s">
        <v>21</v>
      </c>
      <c r="R8" s="28">
        <f>(((R3+R4)/2)+R5+R6+R7)*1.1</f>
        <v>110.00000000000001</v>
      </c>
      <c r="S8" s="21"/>
    </row>
    <row r="9" spans="1:19" s="24" customFormat="1" ht="20.399999999999999" customHeight="1" thickBot="1" x14ac:dyDescent="0.35">
      <c r="A9" s="15">
        <v>7</v>
      </c>
      <c r="B9" s="16" t="s">
        <v>27</v>
      </c>
      <c r="C9" s="17">
        <v>300</v>
      </c>
      <c r="D9" s="18" t="s">
        <v>17</v>
      </c>
      <c r="E9" s="19">
        <v>3.1</v>
      </c>
      <c r="F9" s="19">
        <v>5.75</v>
      </c>
      <c r="G9" s="19">
        <f t="shared" si="1"/>
        <v>17.824999999999999</v>
      </c>
      <c r="H9" s="18" t="s">
        <v>18</v>
      </c>
      <c r="I9" s="19">
        <f>(0.2*3)+0.12+0.85</f>
        <v>1.57</v>
      </c>
      <c r="J9" s="19">
        <v>1.1399999999999999</v>
      </c>
      <c r="K9" s="19">
        <f t="shared" si="0"/>
        <v>1.7897999999999998</v>
      </c>
      <c r="L9" s="20">
        <f>(K9+G9)*R8</f>
        <v>2157.6280000000002</v>
      </c>
      <c r="M9" s="17" t="s">
        <v>19</v>
      </c>
      <c r="N9" s="21"/>
      <c r="O9" s="29" t="s">
        <v>28</v>
      </c>
      <c r="P9" s="30"/>
      <c r="Q9" s="30"/>
      <c r="R9" s="31"/>
      <c r="S9" s="21"/>
    </row>
    <row r="10" spans="1:19" s="24" customFormat="1" ht="20.399999999999999" customHeight="1" x14ac:dyDescent="0.3">
      <c r="A10" s="15">
        <v>8</v>
      </c>
      <c r="B10" s="16" t="s">
        <v>27</v>
      </c>
      <c r="C10" s="17">
        <v>600</v>
      </c>
      <c r="D10" s="18" t="s">
        <v>17</v>
      </c>
      <c r="E10" s="19">
        <v>3.2</v>
      </c>
      <c r="F10" s="19">
        <v>5.75</v>
      </c>
      <c r="G10" s="19">
        <f t="shared" si="1"/>
        <v>18.400000000000002</v>
      </c>
      <c r="H10" s="18" t="s">
        <v>18</v>
      </c>
      <c r="I10" s="19">
        <f>(0.5*3)+0.3+0.85</f>
        <v>2.65</v>
      </c>
      <c r="J10" s="19">
        <v>1.1399999999999999</v>
      </c>
      <c r="K10" s="19">
        <f t="shared" si="0"/>
        <v>3.0209999999999995</v>
      </c>
      <c r="L10" s="20">
        <f>(K10+G10)*R8</f>
        <v>2356.3100000000004</v>
      </c>
      <c r="M10" s="17" t="s">
        <v>19</v>
      </c>
      <c r="N10" s="21"/>
      <c r="O10" s="32" t="s">
        <v>0</v>
      </c>
      <c r="P10" s="33" t="s">
        <v>13</v>
      </c>
      <c r="Q10" s="33" t="s">
        <v>14</v>
      </c>
      <c r="R10" s="34" t="s">
        <v>15</v>
      </c>
      <c r="S10" s="21"/>
    </row>
    <row r="11" spans="1:19" s="24" customFormat="1" ht="20.399999999999999" customHeight="1" x14ac:dyDescent="0.3">
      <c r="A11" s="15">
        <v>9</v>
      </c>
      <c r="B11" s="16" t="s">
        <v>27</v>
      </c>
      <c r="C11" s="17">
        <v>750</v>
      </c>
      <c r="D11" s="18" t="s">
        <v>17</v>
      </c>
      <c r="E11" s="19">
        <v>3.25</v>
      </c>
      <c r="F11" s="19">
        <v>5.75</v>
      </c>
      <c r="G11" s="19">
        <f t="shared" si="1"/>
        <v>18.6875</v>
      </c>
      <c r="H11" s="18" t="s">
        <v>18</v>
      </c>
      <c r="I11" s="19">
        <f>(0.65*3)+0.4+0.85</f>
        <v>3.2</v>
      </c>
      <c r="J11" s="19">
        <v>1.1399999999999999</v>
      </c>
      <c r="K11" s="19">
        <f t="shared" si="0"/>
        <v>3.6479999999999997</v>
      </c>
      <c r="L11" s="20">
        <f>(K11+G11)*R8</f>
        <v>2456.9050000000002</v>
      </c>
      <c r="M11" s="17" t="s">
        <v>19</v>
      </c>
      <c r="N11" s="21"/>
      <c r="O11" s="35"/>
      <c r="P11" s="1"/>
      <c r="Q11" s="1"/>
      <c r="R11" s="36"/>
      <c r="S11" s="21"/>
    </row>
    <row r="12" spans="1:19" s="24" customFormat="1" ht="20.399999999999999" customHeight="1" x14ac:dyDescent="0.3">
      <c r="A12" s="15">
        <v>10</v>
      </c>
      <c r="B12" s="16" t="s">
        <v>27</v>
      </c>
      <c r="C12" s="17">
        <v>900</v>
      </c>
      <c r="D12" s="18" t="s">
        <v>17</v>
      </c>
      <c r="E12" s="19">
        <v>3.3</v>
      </c>
      <c r="F12" s="19">
        <v>5.75</v>
      </c>
      <c r="G12" s="19">
        <f t="shared" si="1"/>
        <v>18.974999999999998</v>
      </c>
      <c r="H12" s="18" t="s">
        <v>18</v>
      </c>
      <c r="I12" s="19">
        <f>(0.8*3)+0.49+0.85</f>
        <v>3.7400000000000007</v>
      </c>
      <c r="J12" s="19">
        <v>1.1399999999999999</v>
      </c>
      <c r="K12" s="19">
        <f t="shared" si="0"/>
        <v>4.2636000000000003</v>
      </c>
      <c r="L12" s="20">
        <f>(K12+G12)*R8</f>
        <v>2556.2460000000001</v>
      </c>
      <c r="M12" s="17" t="s">
        <v>19</v>
      </c>
      <c r="N12" s="21"/>
      <c r="O12" s="22">
        <v>1</v>
      </c>
      <c r="P12" s="16" t="s">
        <v>29</v>
      </c>
      <c r="Q12" s="17" t="s">
        <v>21</v>
      </c>
      <c r="R12" s="23">
        <v>60</v>
      </c>
      <c r="S12" s="21"/>
    </row>
    <row r="13" spans="1:19" s="24" customFormat="1" ht="20.399999999999999" customHeight="1" x14ac:dyDescent="0.3">
      <c r="A13" s="15">
        <v>11</v>
      </c>
      <c r="B13" s="16" t="s">
        <v>27</v>
      </c>
      <c r="C13" s="17">
        <v>1200</v>
      </c>
      <c r="D13" s="18" t="s">
        <v>17</v>
      </c>
      <c r="E13" s="19">
        <v>3.35</v>
      </c>
      <c r="F13" s="19">
        <v>5.75</v>
      </c>
      <c r="G13" s="19">
        <f t="shared" si="1"/>
        <v>19.262499999999999</v>
      </c>
      <c r="H13" s="18" t="s">
        <v>18</v>
      </c>
      <c r="I13" s="19">
        <f>(1.1*3)+0.73+0.85</f>
        <v>4.88</v>
      </c>
      <c r="J13" s="19">
        <v>1.1399999999999999</v>
      </c>
      <c r="K13" s="19">
        <f t="shared" si="0"/>
        <v>5.5631999999999993</v>
      </c>
      <c r="L13" s="20">
        <f>(K13+G13)*R8</f>
        <v>2730.8270000000002</v>
      </c>
      <c r="M13" s="17" t="s">
        <v>19</v>
      </c>
      <c r="N13" s="21"/>
      <c r="O13" s="22">
        <v>2</v>
      </c>
      <c r="P13" s="16" t="s">
        <v>30</v>
      </c>
      <c r="Q13" s="17" t="s">
        <v>21</v>
      </c>
      <c r="R13" s="23">
        <v>3</v>
      </c>
      <c r="S13" s="21"/>
    </row>
    <row r="14" spans="1:19" s="24" customFormat="1" ht="20.399999999999999" customHeight="1" x14ac:dyDescent="0.3">
      <c r="A14" s="15">
        <v>12</v>
      </c>
      <c r="B14" s="16" t="s">
        <v>27</v>
      </c>
      <c r="C14" s="17">
        <v>1500</v>
      </c>
      <c r="D14" s="18" t="s">
        <v>17</v>
      </c>
      <c r="E14" s="19">
        <v>3.45</v>
      </c>
      <c r="F14" s="19">
        <v>5.75</v>
      </c>
      <c r="G14" s="19">
        <f t="shared" si="1"/>
        <v>19.837500000000002</v>
      </c>
      <c r="H14" s="18" t="s">
        <v>18</v>
      </c>
      <c r="I14" s="19">
        <f>(1.4*3)+0.92+0.85</f>
        <v>5.9699999999999989</v>
      </c>
      <c r="J14" s="19">
        <v>1.1399999999999999</v>
      </c>
      <c r="K14" s="19">
        <f t="shared" si="0"/>
        <v>6.8057999999999979</v>
      </c>
      <c r="L14" s="20">
        <f>(K14+G14)*R8</f>
        <v>2930.7630000000004</v>
      </c>
      <c r="M14" s="17" t="s">
        <v>19</v>
      </c>
      <c r="N14" s="21"/>
      <c r="O14" s="22">
        <v>3</v>
      </c>
      <c r="P14" s="16" t="s">
        <v>31</v>
      </c>
      <c r="Q14" s="17" t="s">
        <v>21</v>
      </c>
      <c r="R14" s="23">
        <v>2</v>
      </c>
      <c r="S14" s="21"/>
    </row>
    <row r="15" spans="1:19" s="24" customFormat="1" ht="20.399999999999999" customHeight="1" x14ac:dyDescent="0.3">
      <c r="A15" s="15">
        <v>13</v>
      </c>
      <c r="B15" s="16" t="s">
        <v>32</v>
      </c>
      <c r="C15" s="17">
        <v>300</v>
      </c>
      <c r="D15" s="18" t="s">
        <v>17</v>
      </c>
      <c r="E15" s="19">
        <v>3.15</v>
      </c>
      <c r="F15" s="19">
        <v>5.75</v>
      </c>
      <c r="G15" s="19">
        <f t="shared" si="1"/>
        <v>18.112500000000001</v>
      </c>
      <c r="H15" s="18" t="s">
        <v>18</v>
      </c>
      <c r="I15" s="19">
        <f>(0.1*8)+0.24+0.85</f>
        <v>1.8900000000000001</v>
      </c>
      <c r="J15" s="19">
        <v>1.1399999999999999</v>
      </c>
      <c r="K15" s="19">
        <f t="shared" si="0"/>
        <v>2.1545999999999998</v>
      </c>
      <c r="L15" s="20">
        <f>(K15+G15)*R8</f>
        <v>2229.3810000000003</v>
      </c>
      <c r="M15" s="17" t="s">
        <v>19</v>
      </c>
      <c r="N15" s="21"/>
      <c r="O15" s="22">
        <v>4</v>
      </c>
      <c r="P15" s="16" t="s">
        <v>23</v>
      </c>
      <c r="Q15" s="17" t="s">
        <v>21</v>
      </c>
      <c r="R15" s="23">
        <v>4</v>
      </c>
      <c r="S15" s="21"/>
    </row>
    <row r="16" spans="1:19" s="24" customFormat="1" ht="20.399999999999999" customHeight="1" x14ac:dyDescent="0.3">
      <c r="A16" s="15">
        <v>14</v>
      </c>
      <c r="B16" s="16" t="s">
        <v>32</v>
      </c>
      <c r="C16" s="17">
        <v>600</v>
      </c>
      <c r="D16" s="18" t="s">
        <v>17</v>
      </c>
      <c r="E16" s="19">
        <v>3.3</v>
      </c>
      <c r="F16" s="19">
        <v>5.75</v>
      </c>
      <c r="G16" s="19">
        <f t="shared" si="1"/>
        <v>18.974999999999998</v>
      </c>
      <c r="H16" s="18" t="s">
        <v>18</v>
      </c>
      <c r="I16" s="19">
        <f>(0.225*8)+0.54+0.85</f>
        <v>3.19</v>
      </c>
      <c r="J16" s="19">
        <v>1.1399999999999999</v>
      </c>
      <c r="K16" s="19">
        <f t="shared" si="0"/>
        <v>3.6365999999999996</v>
      </c>
      <c r="L16" s="20">
        <f>(K16+G16)*R8</f>
        <v>2487.2759999999998</v>
      </c>
      <c r="M16" s="17" t="s">
        <v>19</v>
      </c>
      <c r="N16" s="21"/>
      <c r="O16" s="22">
        <v>5</v>
      </c>
      <c r="P16" s="16" t="s">
        <v>33</v>
      </c>
      <c r="Q16" s="17" t="s">
        <v>21</v>
      </c>
      <c r="R16" s="23">
        <v>10</v>
      </c>
      <c r="S16" s="21"/>
    </row>
    <row r="17" spans="1:19" s="24" customFormat="1" ht="20.399999999999999" customHeight="1" x14ac:dyDescent="0.3">
      <c r="A17" s="15">
        <v>15</v>
      </c>
      <c r="B17" s="16" t="s">
        <v>32</v>
      </c>
      <c r="C17" s="17">
        <v>750</v>
      </c>
      <c r="D17" s="18" t="s">
        <v>17</v>
      </c>
      <c r="E17" s="19">
        <v>3.375</v>
      </c>
      <c r="F17" s="19">
        <v>5.75</v>
      </c>
      <c r="G17" s="19">
        <f t="shared" si="1"/>
        <v>19.40625</v>
      </c>
      <c r="H17" s="18" t="s">
        <v>18</v>
      </c>
      <c r="I17" s="19">
        <f>(0.29*8)+0.69+0.85</f>
        <v>3.86</v>
      </c>
      <c r="J17" s="19">
        <v>1.1399999999999999</v>
      </c>
      <c r="K17" s="19">
        <f t="shared" si="0"/>
        <v>4.4003999999999994</v>
      </c>
      <c r="L17" s="20">
        <f>(K17+G17)*R8</f>
        <v>2618.7314999999999</v>
      </c>
      <c r="M17" s="17" t="s">
        <v>19</v>
      </c>
      <c r="N17" s="21"/>
      <c r="O17" s="22">
        <v>6</v>
      </c>
      <c r="P17" s="16" t="s">
        <v>34</v>
      </c>
      <c r="Q17" s="17" t="s">
        <v>21</v>
      </c>
      <c r="R17" s="23">
        <v>10</v>
      </c>
      <c r="S17" s="21"/>
    </row>
    <row r="18" spans="1:19" s="24" customFormat="1" ht="20.399999999999999" customHeight="1" x14ac:dyDescent="0.3">
      <c r="A18" s="15">
        <v>16</v>
      </c>
      <c r="B18" s="16" t="s">
        <v>32</v>
      </c>
      <c r="C18" s="17">
        <v>900</v>
      </c>
      <c r="D18" s="18" t="s">
        <v>17</v>
      </c>
      <c r="E18" s="19">
        <v>3.45</v>
      </c>
      <c r="F18" s="19">
        <v>5.75</v>
      </c>
      <c r="G18" s="19">
        <f t="shared" si="1"/>
        <v>19.837500000000002</v>
      </c>
      <c r="H18" s="18" t="s">
        <v>18</v>
      </c>
      <c r="I18" s="19">
        <f>(0.35*8)+0.84+0.85</f>
        <v>4.4899999999999993</v>
      </c>
      <c r="J18" s="19">
        <v>1.1399999999999999</v>
      </c>
      <c r="K18" s="19">
        <f t="shared" si="0"/>
        <v>5.1185999999999989</v>
      </c>
      <c r="L18" s="20">
        <f>(K18+G18)*R8</f>
        <v>2745.1710000000003</v>
      </c>
      <c r="M18" s="17" t="s">
        <v>19</v>
      </c>
      <c r="N18" s="21"/>
      <c r="O18" s="22">
        <v>7</v>
      </c>
      <c r="P18" s="16" t="s">
        <v>35</v>
      </c>
      <c r="Q18" s="17" t="s">
        <v>21</v>
      </c>
      <c r="R18" s="23">
        <v>11</v>
      </c>
      <c r="S18" s="21"/>
    </row>
    <row r="19" spans="1:19" s="24" customFormat="1" ht="20.399999999999999" customHeight="1" thickBot="1" x14ac:dyDescent="0.35">
      <c r="A19" s="15">
        <v>17</v>
      </c>
      <c r="B19" s="16" t="s">
        <v>32</v>
      </c>
      <c r="C19" s="17">
        <v>1200</v>
      </c>
      <c r="D19" s="18" t="s">
        <v>17</v>
      </c>
      <c r="E19" s="19">
        <v>3.6</v>
      </c>
      <c r="F19" s="19">
        <v>5.75</v>
      </c>
      <c r="G19" s="19">
        <f t="shared" si="1"/>
        <v>20.7</v>
      </c>
      <c r="H19" s="18" t="s">
        <v>18</v>
      </c>
      <c r="I19" s="19">
        <f>(0.475*8)+1.14+0.85</f>
        <v>5.7899999999999991</v>
      </c>
      <c r="J19" s="19">
        <v>1.1399999999999999</v>
      </c>
      <c r="K19" s="19">
        <f t="shared" si="0"/>
        <v>6.6005999999999982</v>
      </c>
      <c r="L19" s="20">
        <f>(K19+G19)*R8</f>
        <v>3003.0659999999998</v>
      </c>
      <c r="M19" s="17" t="s">
        <v>19</v>
      </c>
      <c r="N19" s="21"/>
      <c r="O19" s="37" t="s">
        <v>36</v>
      </c>
      <c r="P19" s="38"/>
      <c r="Q19" s="39"/>
      <c r="R19" s="40">
        <f>SUM(R12:R18)</f>
        <v>100</v>
      </c>
      <c r="S19" s="21"/>
    </row>
    <row r="20" spans="1:19" s="24" customFormat="1" ht="20.399999999999999" customHeight="1" x14ac:dyDescent="0.3">
      <c r="A20" s="15">
        <v>18</v>
      </c>
      <c r="B20" s="16" t="s">
        <v>32</v>
      </c>
      <c r="C20" s="17">
        <v>1500</v>
      </c>
      <c r="D20" s="18" t="s">
        <v>17</v>
      </c>
      <c r="E20" s="19">
        <v>3.75</v>
      </c>
      <c r="F20" s="19">
        <v>5.75</v>
      </c>
      <c r="G20" s="19">
        <f t="shared" si="1"/>
        <v>21.5625</v>
      </c>
      <c r="H20" s="18" t="s">
        <v>18</v>
      </c>
      <c r="I20" s="19">
        <f>(0.6*8)+1.44+0.85</f>
        <v>7.09</v>
      </c>
      <c r="J20" s="19">
        <v>1.1399999999999999</v>
      </c>
      <c r="K20" s="19">
        <f t="shared" si="0"/>
        <v>8.0825999999999993</v>
      </c>
      <c r="L20" s="20">
        <f>(K20+G20)*R8</f>
        <v>3260.9610000000002</v>
      </c>
      <c r="M20" s="17" t="s">
        <v>19</v>
      </c>
      <c r="N20" s="21"/>
      <c r="O20" s="21"/>
      <c r="P20" s="21"/>
      <c r="Q20" s="21"/>
      <c r="R20" s="21"/>
      <c r="S20" s="21"/>
    </row>
    <row r="21" spans="1:19" s="24" customFormat="1" ht="20.399999999999999" customHeight="1" x14ac:dyDescent="0.3">
      <c r="A21" s="15">
        <v>19</v>
      </c>
      <c r="B21" s="16" t="s">
        <v>37</v>
      </c>
      <c r="C21" s="17" t="s">
        <v>38</v>
      </c>
      <c r="D21" s="18" t="s">
        <v>17</v>
      </c>
      <c r="E21" s="19">
        <v>3.3</v>
      </c>
      <c r="F21" s="19">
        <v>5.75</v>
      </c>
      <c r="G21" s="19">
        <f t="shared" si="1"/>
        <v>18.974999999999998</v>
      </c>
      <c r="H21" s="18" t="s">
        <v>18</v>
      </c>
      <c r="I21" s="19">
        <f>((0.39+0.54)*2)+0.39+0.85</f>
        <v>3.1</v>
      </c>
      <c r="J21" s="19">
        <v>1.1399999999999999</v>
      </c>
      <c r="K21" s="19">
        <f t="shared" si="0"/>
        <v>3.5339999999999998</v>
      </c>
      <c r="L21" s="20">
        <f>(K21+G21)*R8</f>
        <v>2475.9899999999998</v>
      </c>
      <c r="M21" s="17" t="s">
        <v>39</v>
      </c>
      <c r="N21" s="21"/>
      <c r="O21" s="21"/>
      <c r="P21" s="21"/>
      <c r="Q21" s="21"/>
      <c r="R21" s="21"/>
      <c r="S21" s="21"/>
    </row>
    <row r="22" spans="1:19" s="24" customFormat="1" ht="20.399999999999999" customHeight="1" x14ac:dyDescent="0.3">
      <c r="A22" s="15">
        <v>20</v>
      </c>
      <c r="B22" s="16" t="s">
        <v>37</v>
      </c>
      <c r="C22" s="17" t="s">
        <v>40</v>
      </c>
      <c r="D22" s="18" t="s">
        <v>17</v>
      </c>
      <c r="E22" s="19">
        <v>3.35</v>
      </c>
      <c r="F22" s="19">
        <v>5.75</v>
      </c>
      <c r="G22" s="19">
        <f t="shared" si="1"/>
        <v>19.262499999999999</v>
      </c>
      <c r="H22" s="18" t="s">
        <v>18</v>
      </c>
      <c r="I22" s="19">
        <f>((0.39+0.59)*2)+0.39+0.85</f>
        <v>3.2</v>
      </c>
      <c r="J22" s="19">
        <v>1.1399999999999999</v>
      </c>
      <c r="K22" s="19">
        <f t="shared" si="0"/>
        <v>3.6479999999999997</v>
      </c>
      <c r="L22" s="20">
        <f>(K22+G22)*R8</f>
        <v>2520.1550000000002</v>
      </c>
      <c r="M22" s="17" t="s">
        <v>41</v>
      </c>
      <c r="N22" s="21"/>
      <c r="O22" s="21"/>
      <c r="P22" s="21"/>
      <c r="Q22" s="21"/>
      <c r="R22" s="21"/>
      <c r="S22" s="21"/>
    </row>
    <row r="23" spans="1:19" s="24" customFormat="1" ht="20.399999999999999" customHeight="1" x14ac:dyDescent="0.3">
      <c r="A23" s="15">
        <v>21</v>
      </c>
      <c r="B23" s="16" t="s">
        <v>37</v>
      </c>
      <c r="C23" s="17" t="s">
        <v>42</v>
      </c>
      <c r="D23" s="18" t="s">
        <v>17</v>
      </c>
      <c r="E23" s="19">
        <v>1.5</v>
      </c>
      <c r="F23" s="19">
        <v>5.75</v>
      </c>
      <c r="G23" s="19">
        <f t="shared" si="1"/>
        <v>8.625</v>
      </c>
      <c r="H23" s="18" t="s">
        <v>18</v>
      </c>
      <c r="I23" s="19">
        <f>((0.24+0.84)*2)+0.85</f>
        <v>3.0100000000000002</v>
      </c>
      <c r="J23" s="19">
        <v>1.1399999999999999</v>
      </c>
      <c r="K23" s="19">
        <f t="shared" si="0"/>
        <v>3.4314</v>
      </c>
      <c r="L23" s="20">
        <f>(K23+G23)*R8</f>
        <v>1326.2040000000002</v>
      </c>
      <c r="M23" s="17" t="s">
        <v>43</v>
      </c>
      <c r="N23" s="21"/>
      <c r="O23" s="21"/>
      <c r="P23" s="21"/>
      <c r="Q23" s="21"/>
      <c r="R23" s="21"/>
      <c r="S23" s="21"/>
    </row>
    <row r="24" spans="1:19" s="24" customFormat="1" ht="20.399999999999999" customHeight="1" x14ac:dyDescent="0.3">
      <c r="A24" s="15">
        <v>22</v>
      </c>
      <c r="B24" s="16" t="s">
        <v>37</v>
      </c>
      <c r="C24" s="17" t="s">
        <v>44</v>
      </c>
      <c r="D24" s="18" t="s">
        <v>17</v>
      </c>
      <c r="E24" s="19">
        <v>1.5</v>
      </c>
      <c r="F24" s="19">
        <v>5.75</v>
      </c>
      <c r="G24" s="19">
        <f t="shared" si="1"/>
        <v>8.625</v>
      </c>
      <c r="H24" s="18" t="s">
        <v>18</v>
      </c>
      <c r="I24" s="19">
        <f>((0.39+0.84)*2)+0.85</f>
        <v>3.31</v>
      </c>
      <c r="J24" s="19">
        <v>1.1399999999999999</v>
      </c>
      <c r="K24" s="19">
        <f t="shared" si="0"/>
        <v>3.7733999999999996</v>
      </c>
      <c r="L24" s="20">
        <f>(K24+G24)*R8</f>
        <v>1363.8240000000001</v>
      </c>
      <c r="M24" s="17" t="s">
        <v>45</v>
      </c>
      <c r="N24" s="21"/>
      <c r="O24" s="21"/>
      <c r="P24" s="21"/>
      <c r="Q24" s="21"/>
      <c r="R24" s="21"/>
      <c r="S24" s="21"/>
    </row>
    <row r="25" spans="1:19" s="24" customFormat="1" ht="20.399999999999999" customHeight="1" x14ac:dyDescent="0.3">
      <c r="A25" s="15">
        <v>23</v>
      </c>
      <c r="B25" s="16" t="s">
        <v>37</v>
      </c>
      <c r="C25" s="17" t="s">
        <v>46</v>
      </c>
      <c r="D25" s="18" t="s">
        <v>17</v>
      </c>
      <c r="E25" s="19">
        <v>3.4</v>
      </c>
      <c r="F25" s="19">
        <v>5.75</v>
      </c>
      <c r="G25" s="19">
        <f t="shared" si="1"/>
        <v>19.55</v>
      </c>
      <c r="H25" s="18" t="s">
        <v>18</v>
      </c>
      <c r="I25" s="19">
        <f>((0.54+0.74)*2)+0.54+0.85</f>
        <v>3.95</v>
      </c>
      <c r="J25" s="19">
        <v>1.1399999999999999</v>
      </c>
      <c r="K25" s="19">
        <f t="shared" si="0"/>
        <v>4.5030000000000001</v>
      </c>
      <c r="L25" s="20">
        <f>(K25+G25)*R8</f>
        <v>2645.8300000000004</v>
      </c>
      <c r="M25" s="17" t="s">
        <v>39</v>
      </c>
      <c r="N25" s="21"/>
      <c r="O25" s="21"/>
      <c r="P25" s="21"/>
      <c r="Q25" s="21"/>
      <c r="R25" s="21"/>
      <c r="S25" s="21"/>
    </row>
    <row r="26" spans="1:19" s="24" customFormat="1" ht="20.399999999999999" customHeight="1" x14ac:dyDescent="0.3">
      <c r="A26" s="15">
        <v>24</v>
      </c>
      <c r="B26" s="16" t="s">
        <v>37</v>
      </c>
      <c r="C26" s="17" t="s">
        <v>47</v>
      </c>
      <c r="D26" s="18" t="s">
        <v>17</v>
      </c>
      <c r="E26" s="19">
        <v>3.45</v>
      </c>
      <c r="F26" s="19">
        <v>5.75</v>
      </c>
      <c r="G26" s="19">
        <f t="shared" si="1"/>
        <v>19.837500000000002</v>
      </c>
      <c r="H26" s="18" t="s">
        <v>18</v>
      </c>
      <c r="I26" s="19">
        <f>((0.54+0.84)*2)+0.54+0.85</f>
        <v>4.1499999999999995</v>
      </c>
      <c r="J26" s="19">
        <v>1.1399999999999999</v>
      </c>
      <c r="K26" s="19">
        <f t="shared" si="0"/>
        <v>4.730999999999999</v>
      </c>
      <c r="L26" s="20">
        <f>(K26+G26)*R8</f>
        <v>2702.5350000000003</v>
      </c>
      <c r="M26" s="17" t="s">
        <v>19</v>
      </c>
      <c r="N26" s="21"/>
      <c r="O26" s="21"/>
      <c r="P26" s="21"/>
      <c r="Q26" s="21"/>
      <c r="R26" s="21"/>
      <c r="S26" s="21"/>
    </row>
    <row r="27" spans="1:19" s="24" customFormat="1" ht="20.399999999999999" customHeight="1" x14ac:dyDescent="0.3">
      <c r="A27" s="15">
        <v>25</v>
      </c>
      <c r="B27" s="16" t="s">
        <v>37</v>
      </c>
      <c r="C27" s="17" t="s">
        <v>48</v>
      </c>
      <c r="D27" s="18" t="s">
        <v>17</v>
      </c>
      <c r="E27" s="19">
        <v>3.45</v>
      </c>
      <c r="F27" s="19">
        <v>5.75</v>
      </c>
      <c r="G27" s="19">
        <f t="shared" si="1"/>
        <v>19.837500000000002</v>
      </c>
      <c r="H27" s="18" t="s">
        <v>18</v>
      </c>
      <c r="I27" s="19">
        <f>((0.69+0.84)*2)+0.69+0.85</f>
        <v>4.5999999999999996</v>
      </c>
      <c r="J27" s="19">
        <v>1.1399999999999999</v>
      </c>
      <c r="K27" s="19">
        <f t="shared" si="0"/>
        <v>5.2439999999999989</v>
      </c>
      <c r="L27" s="20">
        <f>(K27+G27)*R8</f>
        <v>2758.9650000000006</v>
      </c>
      <c r="M27" s="17" t="s">
        <v>41</v>
      </c>
      <c r="N27" s="21"/>
      <c r="O27" s="21"/>
      <c r="P27" s="21"/>
      <c r="Q27" s="21"/>
      <c r="R27" s="21"/>
      <c r="S27" s="21"/>
    </row>
    <row r="28" spans="1:19" s="24" customFormat="1" ht="20.399999999999999" customHeight="1" x14ac:dyDescent="0.3">
      <c r="A28" s="15">
        <v>26</v>
      </c>
      <c r="B28" s="16" t="s">
        <v>37</v>
      </c>
      <c r="C28" s="17" t="s">
        <v>49</v>
      </c>
      <c r="D28" s="18" t="s">
        <v>17</v>
      </c>
      <c r="E28" s="19">
        <v>3.45</v>
      </c>
      <c r="F28" s="19">
        <v>5.75</v>
      </c>
      <c r="G28" s="19">
        <f t="shared" si="1"/>
        <v>19.837500000000002</v>
      </c>
      <c r="H28" s="18" t="s">
        <v>18</v>
      </c>
      <c r="I28" s="19">
        <f>((0.84+0.84)*2)+0.84+0.85</f>
        <v>5.05</v>
      </c>
      <c r="J28" s="19">
        <v>1.1399999999999999</v>
      </c>
      <c r="K28" s="19">
        <f t="shared" si="0"/>
        <v>5.7569999999999997</v>
      </c>
      <c r="L28" s="20">
        <f>(K28+G28)*R8</f>
        <v>2815.3950000000009</v>
      </c>
      <c r="M28" s="17" t="s">
        <v>19</v>
      </c>
      <c r="N28" s="21"/>
      <c r="O28" s="21"/>
      <c r="P28" s="21"/>
      <c r="Q28" s="21"/>
      <c r="R28" s="21"/>
      <c r="S28" s="21"/>
    </row>
    <row r="29" spans="1:19" s="24" customFormat="1" ht="20.399999999999999" customHeight="1" x14ac:dyDescent="0.3">
      <c r="A29" s="15">
        <v>27</v>
      </c>
      <c r="B29" s="16" t="s">
        <v>37</v>
      </c>
      <c r="C29" s="17" t="s">
        <v>50</v>
      </c>
      <c r="D29" s="18" t="s">
        <v>17</v>
      </c>
      <c r="E29" s="19">
        <v>3.6</v>
      </c>
      <c r="F29" s="19">
        <v>5.75</v>
      </c>
      <c r="G29" s="19">
        <f t="shared" si="1"/>
        <v>20.7</v>
      </c>
      <c r="H29" s="18" t="s">
        <v>18</v>
      </c>
      <c r="I29" s="19">
        <f>((0.84+1.14)*2)+0.84+0.85</f>
        <v>5.6499999999999995</v>
      </c>
      <c r="J29" s="19">
        <v>1.1399999999999999</v>
      </c>
      <c r="K29" s="19">
        <f t="shared" si="0"/>
        <v>6.4409999999999989</v>
      </c>
      <c r="L29" s="20">
        <f>(K29+G29)*R8</f>
        <v>2985.51</v>
      </c>
      <c r="M29" s="17" t="s">
        <v>39</v>
      </c>
      <c r="N29" s="21"/>
      <c r="O29" s="21"/>
      <c r="P29" s="21"/>
      <c r="Q29" s="21"/>
      <c r="R29" s="21"/>
      <c r="S29" s="21"/>
    </row>
    <row r="30" spans="1:19" s="24" customFormat="1" ht="20.399999999999999" customHeight="1" x14ac:dyDescent="0.3">
      <c r="A30" s="15">
        <v>28</v>
      </c>
      <c r="B30" s="16" t="s">
        <v>37</v>
      </c>
      <c r="C30" s="17" t="s">
        <v>51</v>
      </c>
      <c r="D30" s="18" t="s">
        <v>17</v>
      </c>
      <c r="E30" s="19">
        <v>3.25</v>
      </c>
      <c r="F30" s="19">
        <v>5.75</v>
      </c>
      <c r="G30" s="19">
        <f>E30*F30</f>
        <v>18.6875</v>
      </c>
      <c r="H30" s="18" t="s">
        <v>18</v>
      </c>
      <c r="I30" s="19">
        <f>((0.44+1.14)*2)+0.44+0.85</f>
        <v>4.4499999999999993</v>
      </c>
      <c r="J30" s="19">
        <v>1.1399999999999999</v>
      </c>
      <c r="K30" s="19">
        <f>I30*J30</f>
        <v>5.0729999999999986</v>
      </c>
      <c r="L30" s="20">
        <f>(K30+G30)*R8</f>
        <v>2613.6550000000002</v>
      </c>
      <c r="M30" s="17" t="s">
        <v>19</v>
      </c>
      <c r="N30" s="21"/>
      <c r="O30" s="21"/>
      <c r="P30" s="21"/>
      <c r="Q30" s="21"/>
      <c r="R30" s="21"/>
      <c r="S30" s="21"/>
    </row>
    <row r="31" spans="1:19" s="24" customFormat="1" ht="20.399999999999999" customHeight="1" x14ac:dyDescent="0.3">
      <c r="A31" s="15">
        <v>29</v>
      </c>
      <c r="B31" s="17" t="s">
        <v>37</v>
      </c>
      <c r="C31" s="17" t="s">
        <v>52</v>
      </c>
      <c r="D31" s="18" t="s">
        <v>17</v>
      </c>
      <c r="E31" s="19">
        <v>3.3</v>
      </c>
      <c r="F31" s="19">
        <v>5.75</v>
      </c>
      <c r="G31" s="19">
        <f>E31*F31</f>
        <v>18.974999999999998</v>
      </c>
      <c r="H31" s="18" t="s">
        <v>18</v>
      </c>
      <c r="I31" s="19">
        <f>((0.54+0.54)*2)+0.54+0.85</f>
        <v>3.5500000000000003</v>
      </c>
      <c r="J31" s="19">
        <v>1.1399999999999999</v>
      </c>
      <c r="K31" s="19">
        <f>I31*J31</f>
        <v>4.0469999999999997</v>
      </c>
      <c r="L31" s="20">
        <f>(K31+G31)*R8</f>
        <v>2532.42</v>
      </c>
      <c r="M31" s="17" t="s">
        <v>39</v>
      </c>
      <c r="N31" s="21"/>
      <c r="O31" s="21"/>
      <c r="P31" s="21"/>
      <c r="Q31" s="21"/>
      <c r="R31" s="21"/>
      <c r="S31" s="21"/>
    </row>
    <row r="32" spans="1:19" s="24" customFormat="1" ht="20.399999999999999" customHeight="1" x14ac:dyDescent="0.3">
      <c r="A32" s="15">
        <v>30</v>
      </c>
      <c r="B32" s="17" t="s">
        <v>37</v>
      </c>
      <c r="C32" s="17" t="s">
        <v>53</v>
      </c>
      <c r="D32" s="18" t="s">
        <v>54</v>
      </c>
      <c r="E32" s="19">
        <v>3.3</v>
      </c>
      <c r="F32" s="19">
        <v>6.76</v>
      </c>
      <c r="G32" s="19">
        <f>E32*F32</f>
        <v>22.308</v>
      </c>
      <c r="H32" s="18" t="s">
        <v>55</v>
      </c>
      <c r="I32" s="19">
        <f>((0.54+1.49)*2)+0.54+0.85</f>
        <v>5.45</v>
      </c>
      <c r="J32" s="19">
        <v>1.62</v>
      </c>
      <c r="K32" s="19">
        <f>I32*J32</f>
        <v>8.8290000000000006</v>
      </c>
      <c r="L32" s="20">
        <f>(K32+G32)*R8</f>
        <v>3425.0700000000006</v>
      </c>
      <c r="M32" s="17" t="s">
        <v>56</v>
      </c>
      <c r="N32" s="21"/>
      <c r="O32" s="21"/>
      <c r="P32" s="21"/>
      <c r="Q32" s="21"/>
      <c r="R32" s="21"/>
      <c r="S32" s="21"/>
    </row>
    <row r="33" spans="1:19" s="24" customFormat="1" ht="20.399999999999999" customHeight="1" x14ac:dyDescent="0.3">
      <c r="A33" s="15">
        <v>31</v>
      </c>
      <c r="B33" s="17" t="s">
        <v>37</v>
      </c>
      <c r="C33" s="17" t="s">
        <v>57</v>
      </c>
      <c r="D33" s="18" t="s">
        <v>54</v>
      </c>
      <c r="E33" s="19">
        <v>4.2</v>
      </c>
      <c r="F33" s="19">
        <v>6.76</v>
      </c>
      <c r="G33" s="19">
        <f t="shared" ref="G33:G38" si="2">E33*F33</f>
        <v>28.391999999999999</v>
      </c>
      <c r="H33" s="18" t="s">
        <v>55</v>
      </c>
      <c r="I33" s="19">
        <f>((1.44+1.44+1.44)*2)+0.85</f>
        <v>9.49</v>
      </c>
      <c r="J33" s="19">
        <v>1.62</v>
      </c>
      <c r="K33" s="19">
        <f t="shared" ref="K33:K38" si="3">I33*J33</f>
        <v>15.373800000000001</v>
      </c>
      <c r="L33" s="20">
        <f>(K33+G33)*R8</f>
        <v>4814.2380000000003</v>
      </c>
      <c r="M33" s="17" t="s">
        <v>19</v>
      </c>
      <c r="N33" s="21"/>
      <c r="O33" s="21"/>
      <c r="P33" s="21"/>
      <c r="Q33" s="21"/>
      <c r="R33" s="21"/>
      <c r="S33" s="21"/>
    </row>
    <row r="34" spans="1:19" s="24" customFormat="1" ht="20.399999999999999" customHeight="1" x14ac:dyDescent="0.3">
      <c r="A34" s="15">
        <v>32</v>
      </c>
      <c r="B34" s="16" t="s">
        <v>37</v>
      </c>
      <c r="C34" s="17" t="s">
        <v>58</v>
      </c>
      <c r="D34" s="18" t="s">
        <v>54</v>
      </c>
      <c r="E34" s="19">
        <v>4.2</v>
      </c>
      <c r="F34" s="19">
        <v>6.76</v>
      </c>
      <c r="G34" s="19">
        <f t="shared" si="2"/>
        <v>28.391999999999999</v>
      </c>
      <c r="H34" s="18" t="s">
        <v>55</v>
      </c>
      <c r="I34" s="19">
        <f>((1.14+1.44+1.14)*2)+0.85</f>
        <v>8.2899999999999991</v>
      </c>
      <c r="J34" s="19">
        <v>1.62</v>
      </c>
      <c r="K34" s="19">
        <f t="shared" si="3"/>
        <v>13.4298</v>
      </c>
      <c r="L34" s="20">
        <f>(K34+G34)*R8</f>
        <v>4600.3980000000001</v>
      </c>
      <c r="M34" s="17" t="s">
        <v>19</v>
      </c>
      <c r="N34" s="21"/>
      <c r="O34" s="21"/>
      <c r="P34" s="21"/>
      <c r="Q34" s="21"/>
      <c r="R34" s="21"/>
      <c r="S34" s="21"/>
    </row>
    <row r="35" spans="1:19" s="24" customFormat="1" ht="20.399999999999999" customHeight="1" x14ac:dyDescent="0.3">
      <c r="A35" s="15">
        <v>33</v>
      </c>
      <c r="B35" s="17" t="s">
        <v>37</v>
      </c>
      <c r="C35" s="17" t="s">
        <v>59</v>
      </c>
      <c r="D35" s="18" t="s">
        <v>54</v>
      </c>
      <c r="E35" s="19">
        <f>4.07*2</f>
        <v>8.14</v>
      </c>
      <c r="F35" s="19">
        <v>6.76</v>
      </c>
      <c r="G35" s="19">
        <f t="shared" si="2"/>
        <v>55.026400000000002</v>
      </c>
      <c r="H35" s="18" t="s">
        <v>60</v>
      </c>
      <c r="I35" s="19">
        <f>((1.54+1.04)*2)+1.54+1.2+1.2</f>
        <v>9.1</v>
      </c>
      <c r="J35" s="19">
        <v>1.76</v>
      </c>
      <c r="K35" s="19">
        <f t="shared" si="3"/>
        <v>16.015999999999998</v>
      </c>
      <c r="L35" s="20">
        <f>(K35+G35)*R8</f>
        <v>7814.6640000000007</v>
      </c>
      <c r="M35" s="17" t="s">
        <v>61</v>
      </c>
      <c r="N35" s="21"/>
      <c r="O35" s="21"/>
      <c r="P35" s="21"/>
      <c r="Q35" s="21"/>
      <c r="R35" s="21"/>
      <c r="S35" s="21"/>
    </row>
    <row r="36" spans="1:19" s="24" customFormat="1" ht="20.399999999999999" customHeight="1" x14ac:dyDescent="0.3">
      <c r="A36" s="15">
        <v>34</v>
      </c>
      <c r="B36" s="16" t="s">
        <v>37</v>
      </c>
      <c r="C36" s="17" t="s">
        <v>62</v>
      </c>
      <c r="D36" s="18" t="s">
        <v>54</v>
      </c>
      <c r="E36" s="19">
        <f>3.8*2</f>
        <v>7.6</v>
      </c>
      <c r="F36" s="19">
        <v>6.76</v>
      </c>
      <c r="G36" s="19">
        <f t="shared" si="2"/>
        <v>51.375999999999998</v>
      </c>
      <c r="H36" s="18" t="s">
        <v>60</v>
      </c>
      <c r="I36" s="19">
        <f>((1.77+0.7)*2)+1.77+1.2+1.2</f>
        <v>9.11</v>
      </c>
      <c r="J36" s="19">
        <v>1.76</v>
      </c>
      <c r="K36" s="19">
        <f t="shared" si="3"/>
        <v>16.0336</v>
      </c>
      <c r="L36" s="20">
        <f>(K36+G36)*R8</f>
        <v>7415.0560000000005</v>
      </c>
      <c r="M36" s="17" t="s">
        <v>61</v>
      </c>
      <c r="N36" s="21"/>
      <c r="O36" s="21"/>
      <c r="P36" s="21"/>
      <c r="Q36" s="21"/>
      <c r="R36" s="21"/>
      <c r="S36" s="21"/>
    </row>
    <row r="37" spans="1:19" s="24" customFormat="1" ht="20.399999999999999" customHeight="1" x14ac:dyDescent="0.3">
      <c r="A37" s="15">
        <v>35</v>
      </c>
      <c r="B37" s="16" t="s">
        <v>37</v>
      </c>
      <c r="C37" s="41" t="s">
        <v>63</v>
      </c>
      <c r="D37" s="18" t="s">
        <v>54</v>
      </c>
      <c r="E37" s="19">
        <f>3.845*3</f>
        <v>11.535</v>
      </c>
      <c r="F37" s="19">
        <v>6.76</v>
      </c>
      <c r="G37" s="19">
        <f t="shared" si="2"/>
        <v>77.976600000000005</v>
      </c>
      <c r="H37" s="18" t="s">
        <v>60</v>
      </c>
      <c r="I37" s="19">
        <f>((2.14+0.79)*2)+2.14+1.2+1.2+1.2</f>
        <v>11.599999999999998</v>
      </c>
      <c r="J37" s="19">
        <v>1.76</v>
      </c>
      <c r="K37" s="19">
        <f t="shared" si="3"/>
        <v>20.415999999999997</v>
      </c>
      <c r="L37" s="20">
        <f>(K37+G37)*R8</f>
        <v>10823.186000000002</v>
      </c>
      <c r="M37" s="17" t="s">
        <v>61</v>
      </c>
      <c r="N37" s="21"/>
      <c r="O37" s="21"/>
      <c r="P37" s="21"/>
      <c r="Q37" s="21"/>
      <c r="R37" s="21"/>
      <c r="S37" s="21"/>
    </row>
    <row r="38" spans="1:19" s="24" customFormat="1" ht="20.399999999999999" customHeight="1" x14ac:dyDescent="0.3">
      <c r="A38" s="15">
        <v>36</v>
      </c>
      <c r="B38" s="16" t="s">
        <v>37</v>
      </c>
      <c r="C38" s="41" t="s">
        <v>64</v>
      </c>
      <c r="D38" s="18" t="s">
        <v>54</v>
      </c>
      <c r="E38" s="19">
        <f>3.87*3</f>
        <v>11.61</v>
      </c>
      <c r="F38" s="19">
        <v>6.76</v>
      </c>
      <c r="G38" s="19">
        <f t="shared" si="2"/>
        <v>78.483599999999996</v>
      </c>
      <c r="H38" s="18" t="s">
        <v>60</v>
      </c>
      <c r="I38" s="19">
        <f>((2.38+0.84)*2)+2.38+1.2+1.2+1.2</f>
        <v>12.419999999999998</v>
      </c>
      <c r="J38" s="19">
        <v>1.76</v>
      </c>
      <c r="K38" s="19">
        <f t="shared" si="3"/>
        <v>21.859199999999998</v>
      </c>
      <c r="L38" s="20">
        <f>(K38+G38)*R8</f>
        <v>11037.708000000001</v>
      </c>
      <c r="M38" s="17" t="s">
        <v>61</v>
      </c>
      <c r="N38" s="21"/>
      <c r="O38" s="21"/>
      <c r="P38" s="21"/>
      <c r="Q38" s="21"/>
      <c r="R38" s="21"/>
      <c r="S38" s="21"/>
    </row>
    <row r="39" spans="1:19" s="24" customFormat="1" ht="20.399999999999999" customHeight="1" x14ac:dyDescent="0.3">
      <c r="A39" s="15">
        <v>37</v>
      </c>
      <c r="B39" s="16" t="s">
        <v>37</v>
      </c>
      <c r="C39" s="17" t="s">
        <v>65</v>
      </c>
      <c r="D39" s="18" t="s">
        <v>54</v>
      </c>
      <c r="E39" s="19">
        <f>3.99*3</f>
        <v>11.97</v>
      </c>
      <c r="F39" s="19">
        <v>6.76</v>
      </c>
      <c r="G39" s="19">
        <f t="shared" si="1"/>
        <v>80.917200000000008</v>
      </c>
      <c r="H39" s="18" t="s">
        <v>60</v>
      </c>
      <c r="I39" s="19">
        <f>((2.07+1.08)*2)+2.07+1.2+1.2+1.2</f>
        <v>11.969999999999997</v>
      </c>
      <c r="J39" s="19">
        <v>1.76</v>
      </c>
      <c r="K39" s="19">
        <f t="shared" si="0"/>
        <v>21.067199999999996</v>
      </c>
      <c r="L39" s="20">
        <f>(K39+G39)*R8</f>
        <v>11218.284000000001</v>
      </c>
      <c r="M39" s="17" t="s">
        <v>61</v>
      </c>
      <c r="N39" s="21"/>
      <c r="O39" s="21"/>
      <c r="P39" s="21"/>
      <c r="Q39" s="21"/>
      <c r="R39" s="21"/>
      <c r="S39" s="21"/>
    </row>
    <row r="40" spans="1:19" s="24" customFormat="1" ht="20.399999999999999" customHeight="1" x14ac:dyDescent="0.3">
      <c r="A40" s="15">
        <v>38</v>
      </c>
      <c r="B40" s="16" t="s">
        <v>37</v>
      </c>
      <c r="C40" s="17" t="s">
        <v>66</v>
      </c>
      <c r="D40" s="18" t="s">
        <v>54</v>
      </c>
      <c r="E40" s="19">
        <f>3.92*3</f>
        <v>11.76</v>
      </c>
      <c r="F40" s="19">
        <v>6.76</v>
      </c>
      <c r="G40" s="19">
        <f t="shared" si="1"/>
        <v>79.497599999999991</v>
      </c>
      <c r="H40" s="18" t="s">
        <v>60</v>
      </c>
      <c r="I40" s="19">
        <f>((2.44+0.94)*2)+2.44+1.2+1.2+1.2</f>
        <v>12.799999999999997</v>
      </c>
      <c r="J40" s="19">
        <v>1.76</v>
      </c>
      <c r="K40" s="19">
        <f t="shared" si="0"/>
        <v>22.527999999999995</v>
      </c>
      <c r="L40" s="20">
        <f>(K40+G40)*R8</f>
        <v>11222.815999999999</v>
      </c>
      <c r="M40" s="17" t="s">
        <v>61</v>
      </c>
      <c r="N40" s="21"/>
      <c r="O40" s="21"/>
      <c r="P40" s="21"/>
      <c r="Q40" s="21"/>
      <c r="R40" s="21"/>
      <c r="S40" s="21"/>
    </row>
    <row r="41" spans="1:19" x14ac:dyDescent="0.3">
      <c r="A41" s="42"/>
      <c r="B41" s="4"/>
      <c r="C41" s="4"/>
      <c r="D41" s="4"/>
      <c r="E41" s="4"/>
      <c r="F41" s="4"/>
      <c r="G41" s="4"/>
      <c r="H41" s="4"/>
      <c r="I41" s="4"/>
      <c r="J41" s="4"/>
      <c r="K41" s="4"/>
      <c r="L41" s="43"/>
      <c r="M41" s="4"/>
      <c r="N41" s="4"/>
      <c r="O41" s="4"/>
      <c r="P41" s="4"/>
      <c r="Q41" s="4"/>
      <c r="R41" s="4"/>
      <c r="S41" s="4"/>
    </row>
    <row r="42" spans="1:19" x14ac:dyDescent="0.3">
      <c r="A42" s="42"/>
      <c r="B42" s="4"/>
      <c r="C42" s="4"/>
      <c r="D42" s="4"/>
      <c r="E42" s="4"/>
      <c r="F42" s="4"/>
      <c r="G42" s="4"/>
      <c r="H42" s="4"/>
      <c r="I42" s="4"/>
      <c r="J42" s="4"/>
      <c r="K42" s="4"/>
      <c r="L42" s="43"/>
      <c r="M42" s="4"/>
      <c r="N42" s="4"/>
      <c r="O42" s="4"/>
      <c r="P42" s="4"/>
      <c r="Q42" s="4"/>
      <c r="R42" s="4"/>
      <c r="S42" s="4"/>
    </row>
    <row r="43" spans="1:19" x14ac:dyDescent="0.3">
      <c r="A43" s="42"/>
      <c r="B43" s="4"/>
      <c r="C43" s="4"/>
      <c r="D43" s="4"/>
      <c r="E43" s="4"/>
      <c r="F43" s="4"/>
      <c r="G43" s="4"/>
      <c r="H43" s="4"/>
      <c r="I43" s="4"/>
      <c r="J43" s="4"/>
      <c r="K43" s="4"/>
      <c r="L43" s="43"/>
      <c r="M43" s="4"/>
      <c r="N43" s="4"/>
      <c r="O43" s="4"/>
      <c r="P43" s="4"/>
      <c r="Q43" s="4"/>
      <c r="R43" s="4"/>
      <c r="S43" s="4"/>
    </row>
    <row r="44" spans="1:19" x14ac:dyDescent="0.3">
      <c r="A44" s="42"/>
      <c r="B44" s="4"/>
      <c r="C44" s="4"/>
      <c r="D44" s="4"/>
      <c r="E44" s="4"/>
      <c r="F44" s="4"/>
      <c r="G44" s="4"/>
      <c r="H44" s="4"/>
      <c r="I44" s="4"/>
      <c r="J44" s="4"/>
      <c r="K44" s="4"/>
      <c r="L44" s="43"/>
      <c r="M44" s="4"/>
      <c r="N44" s="4"/>
      <c r="O44" s="4"/>
      <c r="P44" s="4"/>
      <c r="Q44" s="4"/>
      <c r="R44" s="4"/>
      <c r="S44" s="4"/>
    </row>
    <row r="45" spans="1:19" x14ac:dyDescent="0.3">
      <c r="A45" s="42"/>
      <c r="B45" s="4"/>
      <c r="C45" s="4"/>
      <c r="D45" s="4"/>
      <c r="E45" s="4"/>
      <c r="F45" s="4"/>
      <c r="G45" s="4"/>
      <c r="H45" s="4"/>
      <c r="I45" s="4"/>
      <c r="J45" s="4"/>
      <c r="K45" s="4"/>
      <c r="L45" s="43"/>
      <c r="M45" s="4"/>
      <c r="N45" s="4"/>
      <c r="O45" s="4"/>
      <c r="P45" s="4"/>
      <c r="Q45" s="4"/>
      <c r="R45" s="4"/>
      <c r="S45" s="4"/>
    </row>
    <row r="46" spans="1:19" x14ac:dyDescent="0.3">
      <c r="A46" s="42"/>
      <c r="B46" s="4"/>
      <c r="C46" s="4"/>
      <c r="D46" s="4"/>
      <c r="E46" s="4"/>
      <c r="F46" s="4"/>
      <c r="G46" s="4"/>
      <c r="H46" s="4"/>
      <c r="I46" s="4"/>
      <c r="J46" s="4"/>
      <c r="K46" s="4"/>
      <c r="L46" s="43"/>
      <c r="M46" s="4"/>
      <c r="N46" s="4"/>
      <c r="O46" s="4"/>
      <c r="P46" s="4"/>
      <c r="Q46" s="4"/>
      <c r="R46" s="4"/>
      <c r="S46" s="4"/>
    </row>
    <row r="47" spans="1:19" x14ac:dyDescent="0.3">
      <c r="A47" s="42"/>
      <c r="B47" s="4"/>
      <c r="C47" s="4"/>
      <c r="D47" s="4"/>
      <c r="E47" s="4"/>
      <c r="F47" s="4"/>
      <c r="G47" s="4"/>
      <c r="H47" s="4"/>
      <c r="I47" s="4"/>
      <c r="J47" s="4"/>
      <c r="K47" s="4"/>
      <c r="L47" s="43"/>
      <c r="M47" s="4"/>
      <c r="N47" s="4"/>
      <c r="O47" s="4"/>
      <c r="P47" s="4"/>
      <c r="Q47" s="4"/>
      <c r="R47" s="4"/>
      <c r="S47" s="4"/>
    </row>
    <row r="48" spans="1:19" x14ac:dyDescent="0.3">
      <c r="A48" s="42"/>
      <c r="B48" s="4"/>
      <c r="C48" s="4"/>
      <c r="D48" s="4"/>
      <c r="E48" s="4"/>
      <c r="F48" s="4"/>
      <c r="G48" s="4"/>
      <c r="H48" s="4"/>
      <c r="I48" s="4"/>
      <c r="J48" s="4"/>
      <c r="K48" s="4"/>
      <c r="L48" s="43"/>
      <c r="M48" s="4"/>
      <c r="N48" s="4"/>
      <c r="O48" s="4"/>
      <c r="P48" s="4"/>
      <c r="Q48" s="4"/>
      <c r="R48" s="4"/>
      <c r="S48" s="4"/>
    </row>
    <row r="49" spans="1:19" x14ac:dyDescent="0.3">
      <c r="A49" s="42"/>
      <c r="B49" s="4"/>
      <c r="C49" s="4"/>
      <c r="D49" s="4"/>
      <c r="E49" s="4"/>
      <c r="F49" s="4"/>
      <c r="G49" s="4"/>
      <c r="H49" s="4"/>
      <c r="I49" s="4"/>
      <c r="J49" s="4"/>
      <c r="K49" s="4"/>
      <c r="L49" s="43"/>
      <c r="M49" s="4"/>
      <c r="N49" s="4"/>
      <c r="O49" s="4"/>
      <c r="P49" s="4"/>
      <c r="Q49" s="4"/>
      <c r="R49" s="4"/>
      <c r="S49" s="4"/>
    </row>
    <row r="50" spans="1:19" x14ac:dyDescent="0.3">
      <c r="A50" s="42"/>
      <c r="B50" s="4"/>
      <c r="C50" s="4"/>
      <c r="D50" s="4"/>
      <c r="E50" s="4"/>
      <c r="F50" s="4"/>
      <c r="G50" s="4"/>
      <c r="H50" s="4"/>
      <c r="I50" s="4"/>
      <c r="J50" s="4"/>
      <c r="K50" s="4"/>
      <c r="L50" s="43"/>
      <c r="M50" s="4"/>
      <c r="N50" s="4"/>
      <c r="O50" s="4"/>
      <c r="P50" s="4"/>
      <c r="Q50" s="4"/>
      <c r="R50" s="4"/>
      <c r="S50" s="4"/>
    </row>
    <row r="51" spans="1:19" x14ac:dyDescent="0.3">
      <c r="A51" s="42"/>
      <c r="B51" s="4"/>
      <c r="C51" s="4"/>
      <c r="D51" s="4"/>
      <c r="E51" s="4"/>
      <c r="F51" s="4"/>
      <c r="G51" s="4"/>
      <c r="H51" s="4"/>
      <c r="I51" s="4"/>
      <c r="J51" s="4"/>
      <c r="K51" s="4"/>
      <c r="L51" s="43"/>
      <c r="M51" s="4"/>
      <c r="N51" s="4"/>
      <c r="O51" s="4"/>
      <c r="P51" s="4"/>
      <c r="Q51" s="4"/>
      <c r="R51" s="4"/>
      <c r="S51" s="4"/>
    </row>
    <row r="52" spans="1:19" x14ac:dyDescent="0.3">
      <c r="A52" s="42"/>
      <c r="B52" s="4"/>
      <c r="C52" s="4"/>
      <c r="D52" s="4"/>
      <c r="E52" s="4"/>
      <c r="F52" s="4"/>
      <c r="G52" s="4"/>
      <c r="H52" s="4"/>
      <c r="I52" s="4"/>
      <c r="J52" s="4"/>
      <c r="K52" s="4"/>
      <c r="L52" s="43"/>
      <c r="M52" s="4"/>
      <c r="N52" s="4"/>
      <c r="O52" s="4"/>
      <c r="P52" s="4"/>
      <c r="Q52" s="4"/>
      <c r="R52" s="4"/>
      <c r="S52" s="4"/>
    </row>
    <row r="53" spans="1:19" x14ac:dyDescent="0.3">
      <c r="A53" s="42"/>
      <c r="B53" s="4"/>
      <c r="C53" s="4"/>
      <c r="D53" s="4"/>
      <c r="E53" s="4"/>
      <c r="F53" s="4"/>
      <c r="G53" s="4"/>
      <c r="H53" s="4"/>
      <c r="I53" s="4"/>
      <c r="J53" s="4"/>
      <c r="K53" s="4"/>
      <c r="L53" s="43"/>
      <c r="M53" s="4"/>
      <c r="N53" s="4"/>
      <c r="O53" s="4"/>
      <c r="P53" s="4"/>
      <c r="Q53" s="4"/>
      <c r="R53" s="4"/>
      <c r="S53" s="4"/>
    </row>
    <row r="54" spans="1:19" x14ac:dyDescent="0.3">
      <c r="A54" s="42"/>
      <c r="B54" s="4"/>
      <c r="C54" s="4"/>
      <c r="D54" s="4"/>
      <c r="E54" s="4"/>
      <c r="F54" s="4"/>
      <c r="G54" s="4"/>
      <c r="H54" s="4"/>
      <c r="I54" s="4"/>
      <c r="J54" s="4"/>
      <c r="K54" s="4"/>
      <c r="L54" s="43"/>
      <c r="M54" s="4"/>
      <c r="N54" s="4"/>
      <c r="O54" s="4"/>
      <c r="P54" s="4"/>
      <c r="Q54" s="4"/>
      <c r="R54" s="4"/>
      <c r="S54" s="4"/>
    </row>
    <row r="55" spans="1:19" x14ac:dyDescent="0.3">
      <c r="A55" s="42"/>
      <c r="B55" s="4"/>
      <c r="C55" s="4"/>
      <c r="D55" s="4"/>
      <c r="E55" s="4"/>
      <c r="F55" s="4"/>
      <c r="G55" s="4"/>
      <c r="H55" s="4"/>
      <c r="I55" s="4"/>
      <c r="J55" s="4"/>
      <c r="K55" s="4"/>
      <c r="L55" s="43"/>
      <c r="M55" s="4"/>
      <c r="N55" s="4"/>
      <c r="O55" s="4"/>
      <c r="P55" s="4"/>
      <c r="Q55" s="4"/>
      <c r="R55" s="4"/>
      <c r="S55" s="4"/>
    </row>
    <row r="56" spans="1:19" x14ac:dyDescent="0.3">
      <c r="A56" s="42"/>
      <c r="B56" s="4"/>
      <c r="C56" s="4"/>
      <c r="D56" s="4"/>
      <c r="E56" s="4"/>
      <c r="F56" s="4"/>
      <c r="G56" s="4"/>
      <c r="H56" s="4"/>
      <c r="I56" s="4"/>
      <c r="J56" s="4"/>
      <c r="K56" s="4"/>
      <c r="L56" s="43"/>
      <c r="M56" s="4"/>
      <c r="N56" s="4"/>
      <c r="O56" s="4"/>
      <c r="P56" s="4"/>
      <c r="Q56" s="4"/>
      <c r="R56" s="4"/>
      <c r="S56" s="4"/>
    </row>
    <row r="57" spans="1:19" x14ac:dyDescent="0.3">
      <c r="A57" s="42"/>
      <c r="B57" s="4"/>
      <c r="C57" s="4"/>
      <c r="D57" s="4"/>
      <c r="E57" s="4"/>
      <c r="F57" s="4"/>
      <c r="G57" s="4"/>
      <c r="H57" s="4"/>
      <c r="I57" s="4"/>
      <c r="J57" s="4"/>
      <c r="K57" s="4"/>
      <c r="L57" s="43"/>
      <c r="M57" s="4"/>
      <c r="N57" s="4"/>
      <c r="O57" s="4"/>
      <c r="P57" s="4"/>
      <c r="Q57" s="4"/>
      <c r="R57" s="4"/>
      <c r="S57" s="4"/>
    </row>
    <row r="58" spans="1:19" x14ac:dyDescent="0.3">
      <c r="A58" s="42"/>
      <c r="B58" s="4"/>
      <c r="C58" s="4"/>
      <c r="D58" s="4"/>
      <c r="E58" s="4"/>
      <c r="F58" s="4"/>
      <c r="G58" s="4"/>
      <c r="H58" s="4"/>
      <c r="I58" s="4"/>
      <c r="J58" s="4"/>
      <c r="K58" s="4"/>
      <c r="L58" s="43"/>
      <c r="M58" s="4"/>
      <c r="N58" s="4"/>
      <c r="O58" s="4"/>
      <c r="P58" s="4"/>
      <c r="Q58" s="4"/>
      <c r="R58" s="4"/>
      <c r="S58" s="4"/>
    </row>
    <row r="59" spans="1:19" x14ac:dyDescent="0.3">
      <c r="A59" s="42"/>
      <c r="B59" s="4"/>
      <c r="C59" s="4"/>
      <c r="D59" s="4"/>
      <c r="E59" s="4"/>
      <c r="F59" s="4"/>
      <c r="G59" s="4"/>
      <c r="H59" s="4"/>
      <c r="I59" s="4"/>
      <c r="J59" s="4"/>
      <c r="K59" s="4"/>
      <c r="L59" s="43"/>
      <c r="M59" s="4"/>
      <c r="N59" s="4"/>
      <c r="O59" s="4"/>
      <c r="P59" s="4"/>
      <c r="Q59" s="4"/>
      <c r="R59" s="4"/>
      <c r="S59" s="4"/>
    </row>
    <row r="60" spans="1:19" x14ac:dyDescent="0.3">
      <c r="A60" s="42"/>
      <c r="B60" s="4"/>
      <c r="C60" s="4"/>
      <c r="D60" s="4"/>
      <c r="E60" s="4"/>
      <c r="F60" s="4"/>
      <c r="G60" s="4"/>
      <c r="H60" s="4"/>
      <c r="I60" s="4"/>
      <c r="J60" s="4"/>
      <c r="K60" s="4"/>
      <c r="L60" s="43"/>
      <c r="M60" s="4"/>
      <c r="N60" s="4"/>
      <c r="O60" s="4"/>
      <c r="P60" s="4"/>
      <c r="Q60" s="4"/>
      <c r="R60" s="4"/>
      <c r="S60" s="4"/>
    </row>
    <row r="61" spans="1:19" x14ac:dyDescent="0.3">
      <c r="A61" s="42"/>
      <c r="B61" s="4"/>
      <c r="C61" s="4"/>
      <c r="D61" s="4"/>
      <c r="E61" s="4"/>
      <c r="F61" s="4"/>
      <c r="G61" s="4"/>
      <c r="H61" s="4"/>
      <c r="I61" s="4"/>
      <c r="J61" s="4"/>
      <c r="K61" s="4"/>
      <c r="L61" s="43"/>
      <c r="M61" s="4"/>
      <c r="N61" s="4"/>
      <c r="O61" s="4"/>
      <c r="P61" s="4"/>
      <c r="Q61" s="4"/>
      <c r="R61" s="4"/>
      <c r="S61" s="4"/>
    </row>
    <row r="62" spans="1:19" x14ac:dyDescent="0.3">
      <c r="A62" s="42"/>
      <c r="B62" s="4"/>
      <c r="C62" s="4"/>
      <c r="D62" s="4"/>
      <c r="E62" s="4"/>
      <c r="F62" s="4"/>
      <c r="G62" s="4"/>
      <c r="H62" s="4"/>
      <c r="I62" s="4"/>
      <c r="J62" s="4"/>
      <c r="K62" s="4"/>
      <c r="L62" s="43"/>
      <c r="M62" s="4"/>
      <c r="N62" s="4"/>
      <c r="O62" s="4"/>
      <c r="P62" s="4"/>
      <c r="Q62" s="4"/>
      <c r="R62" s="4"/>
      <c r="S62" s="4"/>
    </row>
    <row r="63" spans="1:19" x14ac:dyDescent="0.3">
      <c r="A63" s="42"/>
      <c r="B63" s="4"/>
      <c r="C63" s="4"/>
      <c r="D63" s="4"/>
      <c r="E63" s="4"/>
      <c r="F63" s="4"/>
      <c r="G63" s="4"/>
      <c r="H63" s="4"/>
      <c r="I63" s="4"/>
      <c r="J63" s="4"/>
      <c r="K63" s="4"/>
      <c r="L63" s="43"/>
      <c r="M63" s="4"/>
      <c r="N63" s="4"/>
      <c r="O63" s="4"/>
      <c r="P63" s="4"/>
      <c r="Q63" s="4"/>
      <c r="R63" s="4"/>
      <c r="S63" s="4"/>
    </row>
    <row r="64" spans="1:19" x14ac:dyDescent="0.3">
      <c r="A64" s="42"/>
      <c r="B64" s="4"/>
      <c r="C64" s="4"/>
      <c r="D64" s="4"/>
      <c r="E64" s="4"/>
      <c r="F64" s="4"/>
      <c r="G64" s="4"/>
      <c r="H64" s="4"/>
      <c r="I64" s="4"/>
      <c r="J64" s="4"/>
      <c r="K64" s="4"/>
      <c r="L64" s="43"/>
      <c r="M64" s="4"/>
      <c r="N64" s="4"/>
      <c r="O64" s="4"/>
      <c r="P64" s="4"/>
      <c r="Q64" s="4"/>
      <c r="R64" s="4"/>
      <c r="S64" s="4"/>
    </row>
    <row r="65" spans="1:19" x14ac:dyDescent="0.3">
      <c r="A65" s="42"/>
      <c r="B65" s="4"/>
      <c r="C65" s="4"/>
      <c r="D65" s="4"/>
      <c r="E65" s="4"/>
      <c r="F65" s="4"/>
      <c r="G65" s="4"/>
      <c r="H65" s="4"/>
      <c r="I65" s="4"/>
      <c r="J65" s="4"/>
      <c r="K65" s="4"/>
      <c r="L65" s="43"/>
      <c r="M65" s="4"/>
      <c r="N65" s="4"/>
      <c r="O65" s="4"/>
      <c r="P65" s="4"/>
      <c r="Q65" s="4"/>
      <c r="R65" s="4"/>
      <c r="S65" s="4"/>
    </row>
    <row r="66" spans="1:19" x14ac:dyDescent="0.3">
      <c r="A66" s="42"/>
      <c r="B66" s="4"/>
      <c r="C66" s="4"/>
      <c r="D66" s="4"/>
      <c r="E66" s="4"/>
      <c r="F66" s="4"/>
      <c r="G66" s="4"/>
      <c r="H66" s="4"/>
      <c r="I66" s="4"/>
      <c r="J66" s="4"/>
      <c r="K66" s="4"/>
      <c r="L66" s="43"/>
      <c r="M66" s="4"/>
      <c r="N66" s="4"/>
      <c r="O66" s="4"/>
      <c r="P66" s="4"/>
      <c r="Q66" s="4"/>
      <c r="R66" s="4"/>
      <c r="S66" s="4"/>
    </row>
    <row r="67" spans="1:19" x14ac:dyDescent="0.3">
      <c r="A67" s="42"/>
      <c r="B67" s="4"/>
      <c r="C67" s="4"/>
      <c r="D67" s="4"/>
      <c r="E67" s="4"/>
      <c r="F67" s="4"/>
      <c r="G67" s="4"/>
      <c r="H67" s="4"/>
      <c r="I67" s="4"/>
      <c r="J67" s="4"/>
      <c r="K67" s="4"/>
      <c r="L67" s="43"/>
      <c r="M67" s="4"/>
      <c r="N67" s="4"/>
      <c r="O67" s="4"/>
      <c r="P67" s="4"/>
      <c r="Q67" s="4"/>
      <c r="R67" s="4"/>
      <c r="S67" s="4"/>
    </row>
    <row r="68" spans="1:19" x14ac:dyDescent="0.3">
      <c r="A68" s="42"/>
      <c r="B68" s="4"/>
      <c r="C68" s="4"/>
      <c r="D68" s="4"/>
      <c r="E68" s="4"/>
      <c r="F68" s="4"/>
      <c r="G68" s="4"/>
      <c r="H68" s="4"/>
      <c r="I68" s="4"/>
      <c r="J68" s="4"/>
      <c r="K68" s="4"/>
      <c r="L68" s="43"/>
      <c r="M68" s="4"/>
      <c r="N68" s="4"/>
      <c r="O68" s="4"/>
      <c r="P68" s="4"/>
      <c r="Q68" s="4"/>
      <c r="R68" s="4"/>
      <c r="S68" s="4"/>
    </row>
    <row r="69" spans="1:19" x14ac:dyDescent="0.3">
      <c r="A69" s="42"/>
      <c r="B69" s="4"/>
      <c r="C69" s="4"/>
      <c r="D69" s="4"/>
      <c r="E69" s="4"/>
      <c r="F69" s="4"/>
      <c r="G69" s="4"/>
      <c r="H69" s="4"/>
      <c r="I69" s="4"/>
      <c r="J69" s="4"/>
      <c r="K69" s="4"/>
      <c r="L69" s="43"/>
      <c r="M69" s="4"/>
      <c r="N69" s="4"/>
      <c r="O69" s="4"/>
      <c r="P69" s="4"/>
      <c r="Q69" s="4"/>
      <c r="R69" s="4"/>
      <c r="S69" s="4"/>
    </row>
    <row r="70" spans="1:19" x14ac:dyDescent="0.3">
      <c r="A70" s="42"/>
      <c r="B70" s="4"/>
      <c r="C70" s="4"/>
      <c r="D70" s="4"/>
      <c r="E70" s="4"/>
      <c r="F70" s="4"/>
      <c r="G70" s="4"/>
      <c r="H70" s="4"/>
      <c r="I70" s="4"/>
      <c r="J70" s="4"/>
      <c r="K70" s="4"/>
      <c r="L70" s="43"/>
      <c r="M70" s="4"/>
      <c r="N70" s="4"/>
      <c r="O70" s="4"/>
      <c r="P70" s="4"/>
      <c r="Q70" s="4"/>
      <c r="R70" s="4"/>
      <c r="S70" s="4"/>
    </row>
    <row r="71" spans="1:19" x14ac:dyDescent="0.3">
      <c r="A71" s="42"/>
      <c r="B71" s="4"/>
      <c r="C71" s="4"/>
      <c r="D71" s="4"/>
      <c r="E71" s="4"/>
      <c r="F71" s="4"/>
      <c r="G71" s="4"/>
      <c r="H71" s="4"/>
      <c r="I71" s="4"/>
      <c r="J71" s="4"/>
      <c r="K71" s="4"/>
      <c r="L71" s="43"/>
      <c r="M71" s="4"/>
      <c r="N71" s="4"/>
      <c r="O71" s="4"/>
      <c r="P71" s="4"/>
      <c r="Q71" s="4"/>
      <c r="R71" s="4"/>
      <c r="S71" s="4"/>
    </row>
    <row r="72" spans="1:19" x14ac:dyDescent="0.3">
      <c r="A72" s="42"/>
      <c r="B72" s="4"/>
      <c r="C72" s="4"/>
      <c r="D72" s="4"/>
      <c r="E72" s="4"/>
      <c r="F72" s="4"/>
      <c r="G72" s="4"/>
      <c r="H72" s="4"/>
      <c r="I72" s="4"/>
      <c r="J72" s="4"/>
      <c r="K72" s="4"/>
      <c r="L72" s="43"/>
      <c r="M72" s="4"/>
      <c r="N72" s="4"/>
      <c r="O72" s="4"/>
      <c r="P72" s="4"/>
      <c r="Q72" s="4"/>
      <c r="R72" s="4"/>
      <c r="S72" s="4"/>
    </row>
    <row r="73" spans="1:19" x14ac:dyDescent="0.3">
      <c r="A73" s="42"/>
      <c r="B73" s="4"/>
      <c r="C73" s="4"/>
      <c r="D73" s="4"/>
      <c r="E73" s="4"/>
      <c r="F73" s="4"/>
      <c r="G73" s="4"/>
      <c r="H73" s="4"/>
      <c r="I73" s="4"/>
      <c r="J73" s="4"/>
      <c r="K73" s="4"/>
      <c r="L73" s="43"/>
      <c r="M73" s="4"/>
      <c r="N73" s="4"/>
      <c r="O73" s="4"/>
      <c r="P73" s="4"/>
      <c r="Q73" s="4"/>
      <c r="R73" s="4"/>
      <c r="S73" s="4"/>
    </row>
    <row r="74" spans="1:19" x14ac:dyDescent="0.3">
      <c r="A74" s="42"/>
      <c r="B74" s="4"/>
      <c r="C74" s="4"/>
      <c r="D74" s="4"/>
      <c r="E74" s="4"/>
      <c r="F74" s="4"/>
      <c r="G74" s="4"/>
      <c r="H74" s="4"/>
      <c r="I74" s="4"/>
      <c r="J74" s="4"/>
      <c r="K74" s="4"/>
      <c r="L74" s="43"/>
      <c r="M74" s="4"/>
      <c r="N74" s="4"/>
      <c r="O74" s="4"/>
      <c r="P74" s="4"/>
      <c r="Q74" s="4"/>
      <c r="R74" s="4"/>
      <c r="S74" s="4"/>
    </row>
    <row r="75" spans="1:19" x14ac:dyDescent="0.3">
      <c r="A75" s="42"/>
      <c r="B75" s="4"/>
      <c r="C75" s="4"/>
      <c r="D75" s="4"/>
      <c r="E75" s="4"/>
      <c r="F75" s="4"/>
      <c r="G75" s="4"/>
      <c r="H75" s="4"/>
      <c r="I75" s="4"/>
      <c r="J75" s="4"/>
      <c r="K75" s="4"/>
      <c r="L75" s="43"/>
      <c r="M75" s="4"/>
      <c r="N75" s="4"/>
      <c r="O75" s="4"/>
      <c r="P75" s="4"/>
      <c r="Q75" s="4"/>
      <c r="R75" s="4"/>
      <c r="S75" s="4"/>
    </row>
    <row r="76" spans="1:19" x14ac:dyDescent="0.3">
      <c r="A76" s="42"/>
      <c r="B76" s="4"/>
      <c r="C76" s="4"/>
      <c r="D76" s="4"/>
      <c r="E76" s="4"/>
      <c r="F76" s="4"/>
      <c r="G76" s="4"/>
      <c r="H76" s="4"/>
      <c r="I76" s="4"/>
      <c r="J76" s="4"/>
      <c r="K76" s="4"/>
      <c r="L76" s="43"/>
      <c r="M76" s="4"/>
      <c r="N76" s="4"/>
      <c r="O76" s="4"/>
      <c r="P76" s="4"/>
      <c r="Q76" s="4"/>
      <c r="R76" s="4"/>
      <c r="S76" s="4"/>
    </row>
    <row r="77" spans="1:19" x14ac:dyDescent="0.3">
      <c r="A77" s="42"/>
      <c r="B77" s="4"/>
      <c r="C77" s="4"/>
      <c r="D77" s="4"/>
      <c r="E77" s="4"/>
      <c r="F77" s="4"/>
      <c r="G77" s="4"/>
      <c r="H77" s="4"/>
      <c r="I77" s="4"/>
      <c r="J77" s="4"/>
      <c r="K77" s="4"/>
      <c r="L77" s="43"/>
      <c r="M77" s="4"/>
      <c r="N77" s="4"/>
      <c r="O77" s="4"/>
      <c r="P77" s="4"/>
      <c r="Q77" s="4"/>
      <c r="R77" s="4"/>
      <c r="S77" s="4"/>
    </row>
    <row r="78" spans="1:19" x14ac:dyDescent="0.3">
      <c r="A78" s="42"/>
      <c r="B78" s="4"/>
      <c r="C78" s="4"/>
      <c r="D78" s="4"/>
      <c r="E78" s="4"/>
      <c r="F78" s="4"/>
      <c r="G78" s="4"/>
      <c r="H78" s="4"/>
      <c r="I78" s="4"/>
      <c r="J78" s="4"/>
      <c r="K78" s="4"/>
      <c r="L78" s="43"/>
      <c r="M78" s="4"/>
      <c r="N78" s="4"/>
      <c r="O78" s="4"/>
      <c r="P78" s="4"/>
      <c r="Q78" s="4"/>
      <c r="R78" s="4"/>
      <c r="S78" s="4"/>
    </row>
    <row r="79" spans="1:19" x14ac:dyDescent="0.3">
      <c r="A79" s="42"/>
      <c r="B79" s="4"/>
      <c r="C79" s="4"/>
      <c r="D79" s="4"/>
      <c r="E79" s="4"/>
      <c r="F79" s="4"/>
      <c r="G79" s="4"/>
      <c r="H79" s="4"/>
      <c r="I79" s="4"/>
      <c r="J79" s="4"/>
      <c r="K79" s="4"/>
      <c r="L79" s="43"/>
      <c r="M79" s="4"/>
      <c r="N79" s="4"/>
      <c r="O79" s="4"/>
      <c r="P79" s="4"/>
      <c r="Q79" s="4"/>
      <c r="R79" s="4"/>
      <c r="S79" s="4"/>
    </row>
    <row r="80" spans="1:19" x14ac:dyDescent="0.3">
      <c r="A80" s="42"/>
      <c r="B80" s="4"/>
      <c r="C80" s="4"/>
      <c r="D80" s="4"/>
      <c r="E80" s="4"/>
      <c r="F80" s="4"/>
      <c r="G80" s="4"/>
      <c r="H80" s="4"/>
      <c r="I80" s="4"/>
      <c r="J80" s="4"/>
      <c r="K80" s="4"/>
      <c r="L80" s="43"/>
      <c r="M80" s="4"/>
      <c r="N80" s="4"/>
      <c r="O80" s="4"/>
      <c r="P80" s="4"/>
      <c r="Q80" s="4"/>
      <c r="R80" s="4"/>
      <c r="S80" s="4"/>
    </row>
    <row r="81" spans="1:19" x14ac:dyDescent="0.3">
      <c r="A81" s="42"/>
      <c r="B81" s="4"/>
      <c r="C81" s="4"/>
      <c r="D81" s="4"/>
      <c r="E81" s="4"/>
      <c r="F81" s="4"/>
      <c r="G81" s="4"/>
      <c r="H81" s="4"/>
      <c r="I81" s="4"/>
      <c r="J81" s="4"/>
      <c r="K81" s="4"/>
      <c r="L81" s="43"/>
      <c r="M81" s="4"/>
      <c r="N81" s="4"/>
      <c r="O81" s="4"/>
      <c r="P81" s="4"/>
      <c r="Q81" s="4"/>
      <c r="R81" s="4"/>
      <c r="S81" s="4"/>
    </row>
    <row r="82" spans="1:19" x14ac:dyDescent="0.3">
      <c r="A82" s="42"/>
      <c r="B82" s="4"/>
      <c r="C82" s="4"/>
      <c r="D82" s="4"/>
      <c r="E82" s="4"/>
      <c r="F82" s="4"/>
      <c r="G82" s="4"/>
      <c r="H82" s="4"/>
      <c r="I82" s="4"/>
      <c r="J82" s="4"/>
      <c r="K82" s="4"/>
      <c r="L82" s="43"/>
      <c r="M82" s="4"/>
      <c r="N82" s="4"/>
      <c r="O82" s="4"/>
      <c r="P82" s="4"/>
      <c r="Q82" s="4"/>
      <c r="R82" s="4"/>
      <c r="S82" s="4"/>
    </row>
    <row r="83" spans="1:19" x14ac:dyDescent="0.3">
      <c r="A83" s="42"/>
      <c r="B83" s="4"/>
      <c r="C83" s="4"/>
      <c r="D83" s="4"/>
      <c r="E83" s="4"/>
      <c r="F83" s="4"/>
      <c r="G83" s="4"/>
      <c r="H83" s="4"/>
      <c r="I83" s="4"/>
      <c r="J83" s="4"/>
      <c r="K83" s="4"/>
      <c r="L83" s="43"/>
      <c r="M83" s="4"/>
      <c r="N83" s="4"/>
      <c r="O83" s="4"/>
      <c r="P83" s="4"/>
      <c r="Q83" s="4"/>
      <c r="R83" s="4"/>
      <c r="S83" s="4"/>
    </row>
    <row r="84" spans="1:19" x14ac:dyDescent="0.3">
      <c r="A84" s="42"/>
      <c r="B84" s="4"/>
      <c r="C84" s="4"/>
      <c r="D84" s="4"/>
      <c r="E84" s="4"/>
      <c r="F84" s="4"/>
      <c r="G84" s="4"/>
      <c r="H84" s="4"/>
      <c r="I84" s="4"/>
      <c r="J84" s="4"/>
      <c r="K84" s="4"/>
      <c r="L84" s="43"/>
      <c r="M84" s="4"/>
      <c r="N84" s="4"/>
      <c r="O84" s="4"/>
      <c r="P84" s="4"/>
      <c r="Q84" s="4"/>
      <c r="R84" s="4"/>
      <c r="S84" s="4"/>
    </row>
    <row r="85" spans="1:19" x14ac:dyDescent="0.3">
      <c r="A85" s="42"/>
      <c r="B85" s="4"/>
      <c r="C85" s="4"/>
      <c r="D85" s="4"/>
      <c r="E85" s="4"/>
      <c r="F85" s="4"/>
      <c r="G85" s="4"/>
      <c r="H85" s="4"/>
      <c r="I85" s="4"/>
      <c r="J85" s="4"/>
      <c r="K85" s="4"/>
      <c r="L85" s="43"/>
      <c r="M85" s="4"/>
      <c r="N85" s="4"/>
      <c r="O85" s="4"/>
      <c r="P85" s="4"/>
      <c r="Q85" s="4"/>
      <c r="R85" s="4"/>
      <c r="S85" s="4"/>
    </row>
    <row r="86" spans="1:19" x14ac:dyDescent="0.3">
      <c r="A86" s="42"/>
      <c r="B86" s="4"/>
      <c r="C86" s="4"/>
      <c r="D86" s="4"/>
      <c r="E86" s="4"/>
      <c r="F86" s="4"/>
      <c r="G86" s="4"/>
      <c r="H86" s="4"/>
      <c r="I86" s="4"/>
      <c r="J86" s="4"/>
      <c r="K86" s="4"/>
      <c r="L86" s="43"/>
      <c r="M86" s="4"/>
      <c r="N86" s="4"/>
      <c r="O86" s="4"/>
      <c r="P86" s="4"/>
      <c r="Q86" s="4"/>
      <c r="R86" s="4"/>
      <c r="S86" s="4"/>
    </row>
    <row r="87" spans="1:19" x14ac:dyDescent="0.3">
      <c r="A87" s="42"/>
      <c r="B87" s="4"/>
      <c r="C87" s="4"/>
      <c r="D87" s="4"/>
      <c r="E87" s="4"/>
      <c r="F87" s="4"/>
      <c r="G87" s="4"/>
      <c r="H87" s="4"/>
      <c r="I87" s="4"/>
      <c r="J87" s="4"/>
      <c r="K87" s="4"/>
      <c r="L87" s="43"/>
      <c r="M87" s="4"/>
      <c r="N87" s="4"/>
      <c r="O87" s="4"/>
      <c r="P87" s="4"/>
      <c r="Q87" s="4"/>
      <c r="R87" s="4"/>
      <c r="S87" s="4"/>
    </row>
    <row r="88" spans="1:19" x14ac:dyDescent="0.3">
      <c r="A88" s="42"/>
      <c r="B88" s="4"/>
      <c r="C88" s="4"/>
      <c r="D88" s="4"/>
      <c r="E88" s="4"/>
      <c r="F88" s="4"/>
      <c r="G88" s="4"/>
      <c r="H88" s="4"/>
      <c r="I88" s="4"/>
      <c r="J88" s="4"/>
      <c r="K88" s="4"/>
      <c r="L88" s="43"/>
      <c r="M88" s="4"/>
      <c r="N88" s="4"/>
      <c r="O88" s="4"/>
      <c r="P88" s="4"/>
      <c r="Q88" s="4"/>
      <c r="R88" s="4"/>
      <c r="S88" s="4"/>
    </row>
    <row r="89" spans="1:19" x14ac:dyDescent="0.3">
      <c r="A89" s="42"/>
      <c r="B89" s="4"/>
      <c r="C89" s="4"/>
      <c r="D89" s="4"/>
      <c r="E89" s="4"/>
      <c r="F89" s="4"/>
      <c r="G89" s="4"/>
      <c r="H89" s="4"/>
      <c r="I89" s="4"/>
      <c r="J89" s="4"/>
      <c r="K89" s="4"/>
      <c r="L89" s="43"/>
      <c r="M89" s="4"/>
      <c r="N89" s="4"/>
      <c r="O89" s="4"/>
      <c r="P89" s="4"/>
      <c r="Q89" s="4"/>
      <c r="R89" s="4"/>
      <c r="S89" s="4"/>
    </row>
    <row r="90" spans="1:19" x14ac:dyDescent="0.3">
      <c r="A90" s="42"/>
      <c r="B90" s="4"/>
      <c r="C90" s="4"/>
      <c r="D90" s="4"/>
      <c r="E90" s="4"/>
      <c r="F90" s="4"/>
      <c r="G90" s="4"/>
      <c r="H90" s="4"/>
      <c r="I90" s="4"/>
      <c r="J90" s="4"/>
      <c r="K90" s="4"/>
      <c r="L90" s="43"/>
      <c r="M90" s="4"/>
      <c r="N90" s="4"/>
      <c r="O90" s="4"/>
      <c r="P90" s="4"/>
      <c r="Q90" s="4"/>
      <c r="R90" s="4"/>
      <c r="S90" s="4"/>
    </row>
    <row r="91" spans="1:19" x14ac:dyDescent="0.3">
      <c r="A91" s="42"/>
      <c r="B91" s="4"/>
      <c r="C91" s="4"/>
      <c r="D91" s="4"/>
      <c r="E91" s="4"/>
      <c r="F91" s="4"/>
      <c r="G91" s="4"/>
      <c r="H91" s="4"/>
      <c r="I91" s="4"/>
      <c r="J91" s="4"/>
      <c r="K91" s="4"/>
      <c r="L91" s="43"/>
      <c r="M91" s="4"/>
      <c r="N91" s="4"/>
      <c r="O91" s="4"/>
      <c r="P91" s="4"/>
      <c r="Q91" s="4"/>
      <c r="R91" s="4"/>
      <c r="S91" s="4"/>
    </row>
    <row r="92" spans="1:19" x14ac:dyDescent="0.3">
      <c r="A92" s="42"/>
      <c r="B92" s="4"/>
      <c r="C92" s="4"/>
      <c r="D92" s="4"/>
      <c r="E92" s="4"/>
      <c r="F92" s="4"/>
      <c r="G92" s="4"/>
      <c r="H92" s="4"/>
      <c r="I92" s="4"/>
      <c r="J92" s="4"/>
      <c r="K92" s="4"/>
      <c r="L92" s="43"/>
      <c r="M92" s="4"/>
      <c r="N92" s="4"/>
      <c r="O92" s="4"/>
      <c r="P92" s="4"/>
      <c r="Q92" s="4"/>
      <c r="R92" s="4"/>
      <c r="S92" s="4"/>
    </row>
    <row r="93" spans="1:19" x14ac:dyDescent="0.3">
      <c r="A93" s="42"/>
      <c r="B93" s="4"/>
      <c r="C93" s="4"/>
      <c r="D93" s="4"/>
      <c r="E93" s="4"/>
      <c r="F93" s="4"/>
      <c r="G93" s="4"/>
      <c r="H93" s="4"/>
      <c r="I93" s="4"/>
      <c r="J93" s="4"/>
      <c r="K93" s="4"/>
      <c r="L93" s="43"/>
      <c r="M93" s="4"/>
      <c r="N93" s="4"/>
      <c r="O93" s="4"/>
      <c r="P93" s="4"/>
      <c r="Q93" s="4"/>
      <c r="R93" s="4"/>
      <c r="S93" s="4"/>
    </row>
    <row r="94" spans="1:19" x14ac:dyDescent="0.3">
      <c r="A94" s="42"/>
      <c r="B94" s="4"/>
      <c r="C94" s="4"/>
      <c r="D94" s="4"/>
      <c r="E94" s="4"/>
      <c r="F94" s="4"/>
      <c r="G94" s="4"/>
      <c r="H94" s="4"/>
      <c r="I94" s="4"/>
      <c r="J94" s="4"/>
      <c r="K94" s="4"/>
      <c r="L94" s="43"/>
      <c r="M94" s="4"/>
      <c r="N94" s="4"/>
      <c r="O94" s="4"/>
      <c r="P94" s="4"/>
      <c r="Q94" s="4"/>
      <c r="R94" s="4"/>
      <c r="S94" s="4"/>
    </row>
    <row r="95" spans="1:19" x14ac:dyDescent="0.3">
      <c r="A95" s="42"/>
      <c r="B95" s="4"/>
      <c r="C95" s="4"/>
      <c r="D95" s="4"/>
      <c r="E95" s="4"/>
      <c r="F95" s="4"/>
      <c r="G95" s="4"/>
      <c r="H95" s="4"/>
      <c r="I95" s="4"/>
      <c r="J95" s="4"/>
      <c r="K95" s="4"/>
      <c r="L95" s="43"/>
      <c r="M95" s="4"/>
      <c r="N95" s="4"/>
      <c r="O95" s="4"/>
      <c r="P95" s="4"/>
      <c r="Q95" s="4"/>
      <c r="R95" s="4"/>
      <c r="S95" s="4"/>
    </row>
    <row r="96" spans="1:19" x14ac:dyDescent="0.3">
      <c r="A96" s="42"/>
      <c r="B96" s="4"/>
      <c r="C96" s="4"/>
      <c r="D96" s="4"/>
      <c r="E96" s="4"/>
      <c r="F96" s="4"/>
      <c r="G96" s="4"/>
      <c r="H96" s="4"/>
      <c r="I96" s="4"/>
      <c r="J96" s="4"/>
      <c r="K96" s="4"/>
      <c r="L96" s="43"/>
      <c r="M96" s="4"/>
      <c r="N96" s="4"/>
      <c r="O96" s="4"/>
      <c r="P96" s="4"/>
      <c r="Q96" s="4"/>
      <c r="R96" s="4"/>
      <c r="S96" s="4"/>
    </row>
    <row r="97" spans="1:19" x14ac:dyDescent="0.3">
      <c r="A97" s="42"/>
      <c r="B97" s="4"/>
      <c r="C97" s="4"/>
      <c r="D97" s="4"/>
      <c r="E97" s="4"/>
      <c r="F97" s="4"/>
      <c r="G97" s="4"/>
      <c r="H97" s="4"/>
      <c r="I97" s="4"/>
      <c r="J97" s="4"/>
      <c r="K97" s="4"/>
      <c r="L97" s="43"/>
      <c r="M97" s="4"/>
      <c r="N97" s="4"/>
      <c r="O97" s="4"/>
      <c r="P97" s="4"/>
      <c r="Q97" s="4"/>
      <c r="R97" s="4"/>
      <c r="S97" s="4"/>
    </row>
    <row r="98" spans="1:19" x14ac:dyDescent="0.3">
      <c r="A98" s="42"/>
      <c r="B98" s="4"/>
      <c r="C98" s="4"/>
      <c r="D98" s="4"/>
      <c r="E98" s="4"/>
      <c r="F98" s="4"/>
      <c r="G98" s="4"/>
      <c r="H98" s="4"/>
      <c r="I98" s="4"/>
      <c r="J98" s="4"/>
      <c r="K98" s="4"/>
      <c r="L98" s="43"/>
      <c r="M98" s="4"/>
      <c r="N98" s="4"/>
      <c r="O98" s="4"/>
      <c r="P98" s="4"/>
      <c r="Q98" s="4"/>
      <c r="R98" s="4"/>
      <c r="S98" s="4"/>
    </row>
    <row r="99" spans="1:19" x14ac:dyDescent="0.3">
      <c r="A99" s="42"/>
      <c r="B99" s="4"/>
      <c r="C99" s="4"/>
      <c r="D99" s="4"/>
      <c r="E99" s="4"/>
      <c r="F99" s="4"/>
      <c r="G99" s="4"/>
      <c r="H99" s="4"/>
      <c r="I99" s="4"/>
      <c r="J99" s="4"/>
      <c r="K99" s="4"/>
      <c r="L99" s="43"/>
      <c r="M99" s="4"/>
      <c r="N99" s="4"/>
      <c r="O99" s="4"/>
      <c r="P99" s="4"/>
      <c r="Q99" s="4"/>
      <c r="R99" s="4"/>
      <c r="S99" s="4"/>
    </row>
    <row r="100" spans="1:19" x14ac:dyDescent="0.3">
      <c r="A100" s="4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3"/>
      <c r="M100" s="4"/>
      <c r="N100" s="4"/>
      <c r="O100" s="4"/>
      <c r="P100" s="4"/>
      <c r="Q100" s="4"/>
      <c r="R100" s="4"/>
      <c r="S100" s="4"/>
    </row>
    <row r="101" spans="1:19" x14ac:dyDescent="0.3">
      <c r="A101" s="4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3"/>
      <c r="M101" s="4"/>
      <c r="N101" s="4"/>
      <c r="O101" s="4"/>
      <c r="P101" s="4"/>
      <c r="Q101" s="4"/>
      <c r="R101" s="4"/>
      <c r="S101" s="4"/>
    </row>
    <row r="102" spans="1:19" x14ac:dyDescent="0.3">
      <c r="A102" s="4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3"/>
      <c r="M102" s="4"/>
      <c r="N102" s="4"/>
      <c r="O102" s="4"/>
      <c r="P102" s="4"/>
      <c r="Q102" s="4"/>
      <c r="R102" s="4"/>
      <c r="S102" s="4"/>
    </row>
    <row r="103" spans="1:19" x14ac:dyDescent="0.3">
      <c r="A103" s="4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3"/>
      <c r="M103" s="4"/>
      <c r="N103" s="4"/>
      <c r="O103" s="4"/>
      <c r="P103" s="4"/>
      <c r="Q103" s="4"/>
      <c r="R103" s="4"/>
      <c r="S103" s="4"/>
    </row>
    <row r="104" spans="1:19" x14ac:dyDescent="0.3">
      <c r="A104" s="4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3"/>
      <c r="M104" s="4"/>
      <c r="N104" s="4"/>
      <c r="O104" s="4"/>
      <c r="P104" s="4"/>
      <c r="Q104" s="4"/>
      <c r="R104" s="4"/>
      <c r="S104" s="4"/>
    </row>
    <row r="105" spans="1:19" x14ac:dyDescent="0.3">
      <c r="A105" s="4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3"/>
      <c r="M105" s="4"/>
      <c r="N105" s="4"/>
      <c r="O105" s="4"/>
      <c r="P105" s="4"/>
      <c r="Q105" s="4"/>
      <c r="R105" s="4"/>
      <c r="S105" s="4"/>
    </row>
    <row r="106" spans="1:19" x14ac:dyDescent="0.3">
      <c r="A106" s="4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3"/>
      <c r="M106" s="4"/>
      <c r="N106" s="4"/>
      <c r="O106" s="4"/>
      <c r="P106" s="4"/>
      <c r="Q106" s="4"/>
      <c r="R106" s="4"/>
      <c r="S106" s="4"/>
    </row>
    <row r="107" spans="1:19" x14ac:dyDescent="0.3">
      <c r="A107" s="4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3"/>
      <c r="M107" s="4"/>
      <c r="N107" s="4"/>
      <c r="O107" s="4"/>
      <c r="P107" s="4"/>
      <c r="Q107" s="4"/>
      <c r="R107" s="4"/>
      <c r="S107" s="4"/>
    </row>
    <row r="108" spans="1:19" x14ac:dyDescent="0.3">
      <c r="A108" s="4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3"/>
      <c r="M108" s="4"/>
      <c r="N108" s="4"/>
      <c r="O108" s="4"/>
      <c r="P108" s="4"/>
      <c r="Q108" s="4"/>
      <c r="R108" s="4"/>
      <c r="S108" s="4"/>
    </row>
    <row r="109" spans="1:19" x14ac:dyDescent="0.3">
      <c r="A109" s="4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3"/>
      <c r="M109" s="4"/>
      <c r="N109" s="4"/>
      <c r="O109" s="4"/>
      <c r="P109" s="4"/>
      <c r="Q109" s="4"/>
      <c r="R109" s="4"/>
      <c r="S109" s="4"/>
    </row>
    <row r="110" spans="1:19" x14ac:dyDescent="0.3">
      <c r="A110" s="4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3"/>
      <c r="M110" s="4"/>
      <c r="N110" s="4"/>
      <c r="O110" s="4"/>
      <c r="P110" s="4"/>
      <c r="Q110" s="4"/>
      <c r="R110" s="4"/>
      <c r="S110" s="4"/>
    </row>
    <row r="111" spans="1:19" x14ac:dyDescent="0.3">
      <c r="A111" s="4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3"/>
      <c r="M111" s="4"/>
      <c r="N111" s="4"/>
      <c r="O111" s="4"/>
      <c r="P111" s="4"/>
      <c r="Q111" s="4"/>
      <c r="R111" s="4"/>
      <c r="S111" s="4"/>
    </row>
    <row r="112" spans="1:19" x14ac:dyDescent="0.3">
      <c r="A112" s="4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3"/>
      <c r="M112" s="4"/>
      <c r="N112" s="4"/>
      <c r="O112" s="4"/>
      <c r="P112" s="4"/>
      <c r="Q112" s="4"/>
      <c r="R112" s="4"/>
      <c r="S112" s="4"/>
    </row>
    <row r="113" spans="1:19" x14ac:dyDescent="0.3">
      <c r="A113" s="4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3"/>
      <c r="M113" s="4"/>
      <c r="N113" s="4"/>
      <c r="O113" s="4"/>
      <c r="P113" s="4"/>
      <c r="Q113" s="4"/>
      <c r="R113" s="4"/>
      <c r="S113" s="4"/>
    </row>
    <row r="114" spans="1:19" x14ac:dyDescent="0.3">
      <c r="A114" s="4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3"/>
      <c r="M114" s="4"/>
      <c r="N114" s="4"/>
      <c r="O114" s="4"/>
      <c r="P114" s="4"/>
      <c r="Q114" s="4"/>
      <c r="R114" s="4"/>
      <c r="S114" s="4"/>
    </row>
    <row r="115" spans="1:19" x14ac:dyDescent="0.3">
      <c r="A115" s="4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3"/>
      <c r="M115" s="4"/>
      <c r="N115" s="4"/>
      <c r="O115" s="4"/>
      <c r="P115" s="4"/>
      <c r="Q115" s="4"/>
      <c r="R115" s="4"/>
      <c r="S115" s="4"/>
    </row>
  </sheetData>
  <mergeCells count="14">
    <mergeCell ref="O19:Q19"/>
    <mergeCell ref="M1:M2"/>
    <mergeCell ref="O1:R1"/>
    <mergeCell ref="O9:R9"/>
    <mergeCell ref="O10:O11"/>
    <mergeCell ref="P10:P11"/>
    <mergeCell ref="Q10:Q11"/>
    <mergeCell ref="R10:R11"/>
    <mergeCell ref="A1:A2"/>
    <mergeCell ref="B1:B2"/>
    <mergeCell ref="C1:C2"/>
    <mergeCell ref="D1:G1"/>
    <mergeCell ref="H1:K1"/>
    <mergeCell ref="L1:L2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Macro2">
                <anchor moveWithCells="1" sizeWithCells="1">
                  <from>
                    <xdr:col>13</xdr:col>
                    <xdr:colOff>137160</xdr:colOff>
                    <xdr:row>1</xdr:row>
                    <xdr:rowOff>182880</xdr:rowOff>
                  </from>
                  <to>
                    <xdr:col>13</xdr:col>
                    <xdr:colOff>426720</xdr:colOff>
                    <xdr:row>1</xdr:row>
                    <xdr:rowOff>441960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Sign Structures (latest)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2025-11-20T07:09:16Z</dcterms:created>
  <dcterms:modified xsi:type="dcterms:W3CDTF">2025-11-20T07:11:02Z</dcterms:modified>
</cp:coreProperties>
</file>